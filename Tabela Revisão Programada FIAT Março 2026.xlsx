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1"/>
  </bookViews>
  <sheets>
    <sheet name="PREÇO NACIONAL" sheetId="1" state="visible" r:id="rId2"/>
    <sheet name="CRONOS 1.0" sheetId="2" state="visible" r:id="rId3"/>
    <sheet name="CRONOS 1.3" sheetId="3" state="visible" r:id="rId4"/>
    <sheet name="CRONOS 1.8" sheetId="4" state="visible" r:id="rId5"/>
    <sheet name="NOVO UNO 1.0 FIRE" sheetId="5" state="visible" r:id="rId6"/>
    <sheet name="NOVO UNO 1.0 FIREFLY" sheetId="6" state="visible" r:id="rId7"/>
    <sheet name="NOVO UNO 1.3 FIREFLY" sheetId="7" state="visible" r:id="rId8"/>
    <sheet name="PALIO WEEKEND 1.4" sheetId="8" state="visible" r:id="rId9"/>
    <sheet name="PALIO WEEKEND 1.8" sheetId="9" state="visible" r:id="rId10"/>
    <sheet name="GRAND SIENA 1.0" sheetId="10" state="visible" r:id="rId11"/>
    <sheet name="GRAND SIENA 1.4" sheetId="11" state="visible" r:id="rId12"/>
    <sheet name="NOVA STRADA 1.0T" sheetId="12" state="visible" r:id="rId13"/>
    <sheet name="NOVA STRADA 1.3" sheetId="13" state="visible" r:id="rId14"/>
    <sheet name="NOVA STRADA 1.4" sheetId="14" state="visible" r:id="rId15"/>
    <sheet name="ARGO 1.0" sheetId="15" state="visible" r:id="rId16"/>
    <sheet name="ARGO 1.3" sheetId="16" state="visible" r:id="rId17"/>
    <sheet name="ARGO 1.8" sheetId="17" state="visible" r:id="rId18"/>
    <sheet name="FIORINO" sheetId="18" state="visible" r:id="rId19"/>
    <sheet name="PULSE 1.0T" sheetId="19" state="visible" r:id="rId20"/>
    <sheet name="PULSE 1.3" sheetId="20" state="visible" r:id="rId21"/>
    <sheet name="PULSE ABARTH" sheetId="21" state="visible" r:id="rId22"/>
    <sheet name="FASTBACK 1.0T" sheetId="22" state="visible" r:id="rId23"/>
    <sheet name="FASTBACK 1.3T" sheetId="23" state="visible" r:id="rId24"/>
    <sheet name="MOBI FIRE" sheetId="24" state="visible" r:id="rId25"/>
    <sheet name="MOBI FIREFLY" sheetId="25" state="visible" r:id="rId26"/>
    <sheet name="DOBLO" sheetId="26" state="visible" r:id="rId27"/>
    <sheet name="TORO 1.8" sheetId="27" state="visible" r:id="rId28"/>
    <sheet name="TORO 2.4" sheetId="28" state="visible" r:id="rId29"/>
    <sheet name="TORO 1.3T" sheetId="29" state="visible" r:id="rId30"/>
    <sheet name="TORO DIESEL" sheetId="30" state="visible" r:id="rId31"/>
    <sheet name="DUCATO" sheetId="31" state="visible" r:id="rId32"/>
    <sheet name="SCUDO" sheetId="32" state="visible" r:id="rId33"/>
    <sheet name="500e" sheetId="33" state="visible" r:id="rId34"/>
    <sheet name="TITANO" sheetId="34" state="visible" r:id="rId35"/>
  </sheets>
  <externalReferences>
    <externalReference r:id="rId36"/>
  </externalReferences>
  <definedNames>
    <definedName function="false" hidden="false" name="AAAAA" vbProcedure="false">#REF!</definedName>
    <definedName function="false" hidden="false" name="AAAAAAAAA" vbProcedure="false">#REF!</definedName>
    <definedName function="false" hidden="false" name="adsfa" vbProcedure="false">#REF!</definedName>
    <definedName function="false" hidden="false" name="AGNES" vbProcedure="false">#REF!</definedName>
    <definedName function="false" hidden="false" name="ASDF" vbProcedure="false">#REF!</definedName>
    <definedName function="false" hidden="false" name="asfas" vbProcedure="false">#REF!</definedName>
    <definedName function="false" hidden="false" name="asfasf" vbProcedure="false">#REF!</definedName>
    <definedName function="false" hidden="false" name="bbbb" vbProcedure="false">#REF!</definedName>
    <definedName function="false" hidden="false" name="bbbbbb" vbProcedure="false">#REF!</definedName>
    <definedName function="false" hidden="false" name="cccc" vbProcedure="false">#REF!</definedName>
    <definedName function="false" hidden="false" name="ccccc" vbProcedure="false">#REF!</definedName>
    <definedName function="false" hidden="false" name="CS" vbProcedure="false">#REF!</definedName>
    <definedName function="false" hidden="false" name="cx" vbProcedure="false">#REF!</definedName>
    <definedName function="false" hidden="false" name="DCOS07" vbProcedure="false">#REF!</definedName>
    <definedName function="false" hidden="false" name="dcos071" vbProcedure="false">#REF!</definedName>
    <definedName function="false" hidden="false" name="ddddddddddddddd" vbProcedure="false">#REF!</definedName>
    <definedName function="false" hidden="false" name="dfsgsdfg" vbProcedure="false">#REF!</definedName>
    <definedName function="false" hidden="false" name="ed" vbProcedure="false">#REF!</definedName>
    <definedName function="false" hidden="false" name="ELVIS" vbProcedure="false">#REF!</definedName>
    <definedName function="false" hidden="false" name="ELVIS1" vbProcedure="false">#REF!</definedName>
    <definedName function="false" hidden="false" name="ew" vbProcedure="false">#REF!</definedName>
    <definedName function="false" hidden="false" name="fd" vbProcedure="false">#REF!</definedName>
    <definedName function="false" hidden="false" name="fsd" vbProcedure="false">#REF!</definedName>
    <definedName function="false" hidden="false" name="fsdgsdfg" vbProcedure="false">#REF!</definedName>
    <definedName function="false" hidden="false" name="fsggdfg" vbProcedure="false">#REF!</definedName>
    <definedName function="false" hidden="false" name="GA" vbProcedure="false">#REF!</definedName>
    <definedName function="false" hidden="false" name="gas" vbProcedure="false">#REF!</definedName>
    <definedName function="false" hidden="false" name="gdsfgsd" vbProcedure="false">#REF!</definedName>
    <definedName function="false" hidden="false" name="gf" vbProcedure="false">#REF!</definedName>
    <definedName function="false" hidden="false" name="gfsd" vbProcedure="false">#REF!</definedName>
    <definedName function="false" hidden="false" name="gfsdgsadf" vbProcedure="false">#REF!</definedName>
    <definedName function="false" hidden="false" name="GGGGG" vbProcedure="false">#REF!</definedName>
    <definedName function="false" hidden="false" name="ghd" vbProcedure="false">#REF!</definedName>
    <definedName function="false" hidden="false" name="gsdfgsd" vbProcedure="false">#REF!</definedName>
    <definedName function="false" hidden="false" name="gsdfgsfd" vbProcedure="false">#REF!</definedName>
    <definedName function="false" hidden="false" name="gsertgae" vbProcedure="false">#REF!</definedName>
    <definedName function="false" hidden="false" name="gt" vbProcedure="false">#REF!</definedName>
    <definedName function="false" hidden="false" name="gzdfgzd" vbProcedure="false">#REF!</definedName>
    <definedName function="false" hidden="false" name="hg" vbProcedure="false">#REF!</definedName>
    <definedName function="false" hidden="false" name="hgdf" vbProcedure="false">#REF!</definedName>
    <definedName function="false" hidden="false" name="hgf" vbProcedure="false">#REF!</definedName>
    <definedName function="false" hidden="false" name="hgfs" vbProcedure="false">#REF!</definedName>
    <definedName function="false" hidden="false" name="hgsfs" vbProcedure="false">#REF!</definedName>
    <definedName function="false" hidden="false" name="hola1" vbProcedure="false">#REF!</definedName>
    <definedName function="false" hidden="false" name="hs" vbProcedure="false">#REF!</definedName>
    <definedName function="false" hidden="false" name="hxgfn" vbProcedure="false">#REF!</definedName>
    <definedName function="false" hidden="false" name="hy" vbProcedure="false">#REF!</definedName>
    <definedName function="false" hidden="false" name="INODCS" vbProcedure="false">#REF!</definedName>
    <definedName function="false" hidden="false" name="J" vbProcedure="false">#REF!</definedName>
    <definedName function="false" hidden="false" name="KK" vbProcedure="false">#REF!</definedName>
    <definedName function="false" hidden="false" name="lbl_message" vbProcedure="false">#REF!</definedName>
    <definedName function="false" hidden="false" name="pippo" vbProcedure="false">#REF!</definedName>
    <definedName function="false" hidden="false" name="pluto" vbProcedure="false">#REF!</definedName>
    <definedName function="false" hidden="false" name="sales" vbProcedure="false">#REF!</definedName>
    <definedName function="false" hidden="false" name="SORT" vbProcedure="false">#REF!</definedName>
    <definedName function="false" hidden="false" name="sort3" vbProcedure="false">#REF!</definedName>
    <definedName function="false" hidden="false" name="sssssssssssss" vbProcedure="false">#REF!</definedName>
    <definedName function="false" hidden="false" name="test" vbProcedure="false">#REF!</definedName>
    <definedName function="false" hidden="false" name="TXTSH" vbProcedure="false">#REF!</definedName>
    <definedName function="false" hidden="false" name="TXTUS" vbProcedure="false">#REF!</definedName>
    <definedName function="false" hidden="false" name="variazione" vbProcedure="false">#REF!</definedName>
    <definedName function="false" hidden="false" name="_" vbProcedure="false">#REF!</definedName>
    <definedName function="false" hidden="false" name="_10_0_0_F" vbProcedure="false">#REF!</definedName>
    <definedName function="false" hidden="false" name="_10_0__123Grap" vbProcedure="false">#REF!</definedName>
    <definedName function="false" hidden="false" name="_12_0_0_F" vbProcedure="false">#REF!</definedName>
    <definedName function="false" hidden="false" name="_12_0__123Grap" vbProcedure="false">#REF!</definedName>
    <definedName function="false" hidden="false" name="_14_0_0_F" vbProcedure="false">#REF!</definedName>
    <definedName function="false" hidden="false" name="_1F" vbProcedure="false">#REF!</definedName>
    <definedName function="false" hidden="false" name="_2_0__123Grap" vbProcedure="false">#REF!</definedName>
    <definedName function="false" hidden="false" name="_3_0__123Grap" vbProcedure="false">#REF!</definedName>
    <definedName function="false" hidden="false" name="_4_0_0_F" vbProcedure="false">#REF!</definedName>
    <definedName function="false" hidden="false" name="_4_0__123Grap" vbProcedure="false">#REF!</definedName>
    <definedName function="false" hidden="false" name="_5F" vbProcedure="false">#REF!</definedName>
    <definedName function="false" hidden="false" name="_5_0__123Grap" vbProcedure="false">#REF!</definedName>
    <definedName function="false" hidden="false" name="_6F" vbProcedure="false">#REF!</definedName>
    <definedName function="false" hidden="false" name="_6_0__123Grap" vbProcedure="false">#REF!</definedName>
    <definedName function="false" hidden="false" name="_7_0__123Grap" vbProcedure="false">#REF!</definedName>
    <definedName function="false" hidden="false" name="_8_0__123Grap" vbProcedure="false">#REF!</definedName>
    <definedName function="false" hidden="false" name="_Dist_Values" vbProcedure="false">#REF!</definedName>
    <definedName function="false" hidden="false" name="_Fill" vbProcedure="false">#REF!</definedName>
    <definedName function="false" hidden="false" name="_Key1" vbProcedure="false">#REF!</definedName>
    <definedName function="false" hidden="false" name="_key11" vbProcedure="false">#REF!</definedName>
    <definedName function="false" hidden="false" name="_KEY2" vbProcedure="false">#REF!</definedName>
    <definedName function="false" hidden="false" name="_Sort" vbProcedure="false">#REF!</definedName>
    <definedName function="false" hidden="false" name="__123Graph_A" vbProcedure="false">#REF!</definedName>
    <definedName function="false" hidden="false" name="__123Graph_ABUDGET" vbProcedure="false">#REF!</definedName>
    <definedName function="false" hidden="false" name="__123Graph_ACorrente" vbProcedure="false">#REF!</definedName>
    <definedName function="false" hidden="false" name="__123Graph_ACURRENT" vbProcedure="false">#REF!</definedName>
    <definedName function="false" hidden="false" name="__123Graph_APRIOR" vbProcedure="false">#REF!</definedName>
    <definedName function="false" hidden="false" name="__123Graph_B" vbProcedure="false">#REF!</definedName>
    <definedName function="false" hidden="false" name="__123Graph_BBUDGET" vbProcedure="false">#REF!</definedName>
    <definedName function="false" hidden="false" name="__123Graph_BCorrente" vbProcedure="false">#REF!</definedName>
    <definedName function="false" hidden="false" name="__123Graph_BCURRENT" vbProcedure="false">#REF!</definedName>
    <definedName function="false" hidden="false" name="__123Graph_BPRIOR" vbProcedure="false">#REF!</definedName>
    <definedName function="false" hidden="false" name="__123Graph_C" vbProcedure="false">#REF!</definedName>
    <definedName function="false" hidden="false" name="__123Graph_CBUDGET" vbProcedure="false">#REF!</definedName>
    <definedName function="false" hidden="false" name="__123Graph_CCorrente" vbProcedure="false">#REF!</definedName>
    <definedName function="false" hidden="false" name="__123Graph_CCURRENT" vbProcedure="false">#REF!</definedName>
    <definedName function="false" hidden="false" name="__123Graph_CPRIOR" vbProcedure="false">#REF!</definedName>
    <definedName function="false" hidden="false" name="__123Graph_D" vbProcedure="false">#REF!</definedName>
    <definedName function="false" hidden="false" name="__123Graph_DBUDGET" vbProcedure="false">#REF!</definedName>
    <definedName function="false" hidden="false" name="__123Graph_DCorrente" vbProcedure="false">#REF!</definedName>
    <definedName function="false" hidden="false" name="__123Graph_DCURRENT" vbProcedure="false">#REF!</definedName>
    <definedName function="false" hidden="false" name="__123Graph_DPRIOR" vbProcedure="false">#REF!</definedName>
    <definedName function="false" hidden="false" name="__123Graph_E" vbProcedure="false">#REF!</definedName>
    <definedName function="false" hidden="false" name="__123Graph_ECorrente" vbProcedure="false">#REF!</definedName>
    <definedName function="false" hidden="false" name="__123Graph_F" vbProcedure="false">#REF!</definedName>
    <definedName function="false" hidden="false" name="__123Graph_FCorrente" vbProcedure="false">#REF!</definedName>
    <definedName function="false" hidden="false" name="__123Graph_X" vbProcedure="false">#REF!</definedName>
    <definedName function="false" hidden="false" name="__123Graph_XBUDGET" vbProcedure="false">#REF!</definedName>
    <definedName function="false" hidden="false" name="__123Graph_XCURRENT" vbProcedure="false">#REF!</definedName>
    <definedName function="false" hidden="false" name="__123Graph_XPRIOR" vbProcedure="false">#REF!</definedName>
    <definedName function="false" hidden="false" name="___KEY2" vbProcedure="false">#REF!</definedName>
    <definedName function="false" hidden="false" name="___l" vbProcedure="false">#REF!</definedName>
    <definedName function="false" hidden="false" name="____l" vbProcedure="false">#REF!</definedName>
    <definedName function="false" hidden="false" name="_______l" vbProcedure="false">#REF!</definedName>
    <definedName function="false" hidden="false" localSheetId="0" name="lbl_message" vbProcedure="false">#REF!</definedName>
    <definedName function="false" hidden="false" localSheetId="0" name="TXTSH" vbProcedure="false">#REF!</definedName>
    <definedName function="false" hidden="false" localSheetId="0" name="TXTUS" vbProcedure="false">#REF!</definedName>
    <definedName function="false" hidden="false" localSheetId="1" name="CS" vbProcedure="false">#REF!</definedName>
    <definedName function="false" hidden="false" localSheetId="1" name="J" vbProcedure="false">#REF!</definedName>
    <definedName function="false" hidden="false" localSheetId="1" name="KK" vbProcedure="false">#REF!</definedName>
    <definedName function="false" hidden="false" localSheetId="1" name="lbl_message" vbProcedure="false">#REF!</definedName>
    <definedName function="false" hidden="false" localSheetId="1" name="pippo" vbProcedure="false">#REF!</definedName>
    <definedName function="false" hidden="false" localSheetId="1" name="pluto" vbProcedure="false">#REF!</definedName>
    <definedName function="false" hidden="false" localSheetId="1" name="sales" vbProcedure="false">#REF!</definedName>
    <definedName function="false" hidden="false" localSheetId="1" name="SORT" vbProcedure="false">#REF!</definedName>
    <definedName function="false" hidden="false" localSheetId="1" name="sort3" vbProcedure="false">#REF!</definedName>
    <definedName function="false" hidden="false" localSheetId="1" name="sssssssssssss" vbProcedure="false">#REF!</definedName>
    <definedName function="false" hidden="false" localSheetId="1" name="test" vbProcedure="false">#REF!</definedName>
    <definedName function="false" hidden="false" localSheetId="1" name="TXTSH" vbProcedure="false">#REF!</definedName>
    <definedName function="false" hidden="false" localSheetId="1" name="TXTUS" vbProcedure="false">#REF!</definedName>
    <definedName function="false" hidden="false" localSheetId="1" name="variazione" vbProcedure="false">#REF!</definedName>
    <definedName function="false" hidden="false" localSheetId="1" name="_" vbProcedure="false">#REF!</definedName>
    <definedName function="false" hidden="false" localSheetId="1" name="_10_0_0_F" vbProcedure="false">#REF!</definedName>
    <definedName function="false" hidden="false" localSheetId="1" name="_10_0__123Grap" vbProcedure="false">#REF!</definedName>
    <definedName function="false" hidden="false" localSheetId="1" name="_12_0_0_F" vbProcedure="false">#REF!</definedName>
    <definedName function="false" hidden="false" localSheetId="1" name="_12_0__123Grap" vbProcedure="false">#REF!</definedName>
    <definedName function="false" hidden="false" localSheetId="1" name="_14_0_0_F" vbProcedure="false">#REF!</definedName>
    <definedName function="false" hidden="false" localSheetId="1" name="_1F" vbProcedure="false">#REF!</definedName>
    <definedName function="false" hidden="false" localSheetId="1" name="_2_0__123Grap" vbProcedure="false">#REF!</definedName>
    <definedName function="false" hidden="false" localSheetId="1" name="_3_0__123Grap" vbProcedure="false">#REF!</definedName>
    <definedName function="false" hidden="false" localSheetId="1" name="_4_0_0_F" vbProcedure="false">#REF!</definedName>
    <definedName function="false" hidden="false" localSheetId="1" name="_4_0__123Grap" vbProcedure="false">#REF!</definedName>
    <definedName function="false" hidden="false" localSheetId="1" name="_5F" vbProcedure="false">#REF!</definedName>
    <definedName function="false" hidden="false" localSheetId="1" name="_5_0__123Grap" vbProcedure="false">#REF!</definedName>
    <definedName function="false" hidden="false" localSheetId="1" name="_6F" vbProcedure="false">#REF!</definedName>
    <definedName function="false" hidden="false" localSheetId="1" name="_6_0__123Grap" vbProcedure="false">#REF!</definedName>
    <definedName function="false" hidden="false" localSheetId="1" name="_7_0__123Grap" vbProcedure="false">#REF!</definedName>
    <definedName function="false" hidden="false" localSheetId="1" name="_8_0__123Grap" vbProcedure="false">#REF!</definedName>
    <definedName function="false" hidden="false" localSheetId="1" name="_Dist_Values" vbProcedure="false">#REF!</definedName>
    <definedName function="false" hidden="false" localSheetId="1" name="_Fill" vbProcedure="false">#REF!</definedName>
    <definedName function="false" hidden="false" localSheetId="1" name="_Key1" vbProcedure="false">#REF!</definedName>
    <definedName function="false" hidden="false" localSheetId="1" name="_key11" vbProcedure="false">#REF!</definedName>
    <definedName function="false" hidden="false" localSheetId="1" name="_KEY2" vbProcedure="false">#REF!</definedName>
    <definedName function="false" hidden="false" localSheetId="1" name="_Sort" vbProcedure="false">#REF!</definedName>
    <definedName function="false" hidden="false" localSheetId="1" name="__123Graph_A" vbProcedure="false">#REF!</definedName>
    <definedName function="false" hidden="false" localSheetId="1" name="__123Graph_ABUDGET" vbProcedure="false">#REF!</definedName>
    <definedName function="false" hidden="false" localSheetId="1" name="__123Graph_ACorrente" vbProcedure="false">#REF!</definedName>
    <definedName function="false" hidden="false" localSheetId="1" name="__123Graph_ACURRENT" vbProcedure="false">#REF!</definedName>
    <definedName function="false" hidden="false" localSheetId="1" name="__123Graph_APRIOR" vbProcedure="false">#REF!</definedName>
    <definedName function="false" hidden="false" localSheetId="1" name="__123Graph_B" vbProcedure="false">#REF!</definedName>
    <definedName function="false" hidden="false" localSheetId="1" name="__123Graph_BBUDGET" vbProcedure="false">#REF!</definedName>
    <definedName function="false" hidden="false" localSheetId="1" name="__123Graph_BCorrente" vbProcedure="false">#REF!</definedName>
    <definedName function="false" hidden="false" localSheetId="1" name="__123Graph_BCURRENT" vbProcedure="false">#REF!</definedName>
    <definedName function="false" hidden="false" localSheetId="1" name="__123Graph_BPRIOR" vbProcedure="false">#REF!</definedName>
    <definedName function="false" hidden="false" localSheetId="1" name="__123Graph_C" vbProcedure="false">#REF!</definedName>
    <definedName function="false" hidden="false" localSheetId="1" name="__123Graph_CBUDGET" vbProcedure="false">#REF!</definedName>
    <definedName function="false" hidden="false" localSheetId="1" name="__123Graph_CCorrente" vbProcedure="false">#REF!</definedName>
    <definedName function="false" hidden="false" localSheetId="1" name="__123Graph_CCURRENT" vbProcedure="false">#REF!</definedName>
    <definedName function="false" hidden="false" localSheetId="1" name="__123Graph_CPRIOR" vbProcedure="false">#REF!</definedName>
    <definedName function="false" hidden="false" localSheetId="1" name="__123Graph_D" vbProcedure="false">#REF!</definedName>
    <definedName function="false" hidden="false" localSheetId="1" name="__123Graph_DBUDGET" vbProcedure="false">#REF!</definedName>
    <definedName function="false" hidden="false" localSheetId="1" name="__123Graph_DCorrente" vbProcedure="false">#REF!</definedName>
    <definedName function="false" hidden="false" localSheetId="1" name="__123Graph_DCURRENT" vbProcedure="false">#REF!</definedName>
    <definedName function="false" hidden="false" localSheetId="1" name="__123Graph_DPRIOR" vbProcedure="false">#REF!</definedName>
    <definedName function="false" hidden="false" localSheetId="1" name="__123Graph_E" vbProcedure="false">#REF!</definedName>
    <definedName function="false" hidden="false" localSheetId="1" name="__123Graph_ECorrente" vbProcedure="false">#REF!</definedName>
    <definedName function="false" hidden="false" localSheetId="1" name="__123Graph_F" vbProcedure="false">#REF!</definedName>
    <definedName function="false" hidden="false" localSheetId="1" name="__123Graph_FCorrente" vbProcedure="false">#REF!</definedName>
    <definedName function="false" hidden="false" localSheetId="1" name="__123Graph_X" vbProcedure="false">#REF!</definedName>
    <definedName function="false" hidden="false" localSheetId="1" name="__123Graph_XBUDGET" vbProcedure="false">#REF!</definedName>
    <definedName function="false" hidden="false" localSheetId="1" name="__123Graph_XCURRENT" vbProcedure="false">#REF!</definedName>
    <definedName function="false" hidden="false" localSheetId="1" name="__123Graph_XPRIOR" vbProcedure="false">#REF!</definedName>
    <definedName function="false" hidden="false" localSheetId="1" name="___KEY2" vbProcedure="false">#REF!</definedName>
    <definedName function="false" hidden="false" localSheetId="2" name="CS" vbProcedure="false">#REF!</definedName>
    <definedName function="false" hidden="false" localSheetId="2" name="J" vbProcedure="false">#REF!</definedName>
    <definedName function="false" hidden="false" localSheetId="2" name="KK" vbProcedure="false">#REF!</definedName>
    <definedName function="false" hidden="false" localSheetId="2" name="lbl_message" vbProcedure="false">#REF!</definedName>
    <definedName function="false" hidden="false" localSheetId="2" name="pippo" vbProcedure="false">#REF!</definedName>
    <definedName function="false" hidden="false" localSheetId="2" name="pluto" vbProcedure="false">#REF!</definedName>
    <definedName function="false" hidden="false" localSheetId="2" name="sales" vbProcedure="false">#REF!</definedName>
    <definedName function="false" hidden="false" localSheetId="2" name="SORT" vbProcedure="false">#REF!</definedName>
    <definedName function="false" hidden="false" localSheetId="2" name="sort3" vbProcedure="false">#REF!</definedName>
    <definedName function="false" hidden="false" localSheetId="2" name="sssssssssssss" vbProcedure="false">#REF!</definedName>
    <definedName function="false" hidden="false" localSheetId="2" name="test" vbProcedure="false">#REF!</definedName>
    <definedName function="false" hidden="false" localSheetId="2" name="TXTSH" vbProcedure="false">#REF!</definedName>
    <definedName function="false" hidden="false" localSheetId="2" name="TXTUS" vbProcedure="false">#REF!</definedName>
    <definedName function="false" hidden="false" localSheetId="2" name="variazione" vbProcedure="false">#REF!</definedName>
    <definedName function="false" hidden="false" localSheetId="2" name="_" vbProcedure="false">#REF!</definedName>
    <definedName function="false" hidden="false" localSheetId="2" name="_10_0_0_F" vbProcedure="false">#REF!</definedName>
    <definedName function="false" hidden="false" localSheetId="2" name="_10_0__123Grap" vbProcedure="false">#REF!</definedName>
    <definedName function="false" hidden="false" localSheetId="2" name="_12_0_0_F" vbProcedure="false">#REF!</definedName>
    <definedName function="false" hidden="false" localSheetId="2" name="_12_0__123Grap" vbProcedure="false">#REF!</definedName>
    <definedName function="false" hidden="false" localSheetId="2" name="_14_0_0_F" vbProcedure="false">#REF!</definedName>
    <definedName function="false" hidden="false" localSheetId="2" name="_1F" vbProcedure="false">#REF!</definedName>
    <definedName function="false" hidden="false" localSheetId="2" name="_2_0__123Grap" vbProcedure="false">#REF!</definedName>
    <definedName function="false" hidden="false" localSheetId="2" name="_3_0__123Grap" vbProcedure="false">#REF!</definedName>
    <definedName function="false" hidden="false" localSheetId="2" name="_4_0_0_F" vbProcedure="false">#REF!</definedName>
    <definedName function="false" hidden="false" localSheetId="2" name="_4_0__123Grap" vbProcedure="false">#REF!</definedName>
    <definedName function="false" hidden="false" localSheetId="2" name="_5F" vbProcedure="false">#REF!</definedName>
    <definedName function="false" hidden="false" localSheetId="2" name="_5_0__123Grap" vbProcedure="false">#REF!</definedName>
    <definedName function="false" hidden="false" localSheetId="2" name="_6F" vbProcedure="false">#REF!</definedName>
    <definedName function="false" hidden="false" localSheetId="2" name="_6_0__123Grap" vbProcedure="false">#REF!</definedName>
    <definedName function="false" hidden="false" localSheetId="2" name="_7_0__123Grap" vbProcedure="false">#REF!</definedName>
    <definedName function="false" hidden="false" localSheetId="2" name="_8_0__123Grap" vbProcedure="false">#REF!</definedName>
    <definedName function="false" hidden="false" localSheetId="2" name="_Dist_Values" vbProcedure="false">#REF!</definedName>
    <definedName function="false" hidden="false" localSheetId="2" name="_Fill" vbProcedure="false">#REF!</definedName>
    <definedName function="false" hidden="false" localSheetId="2" name="_Key1" vbProcedure="false">#REF!</definedName>
    <definedName function="false" hidden="false" localSheetId="2" name="_key11" vbProcedure="false">#REF!</definedName>
    <definedName function="false" hidden="false" localSheetId="2" name="_KEY2" vbProcedure="false">#REF!</definedName>
    <definedName function="false" hidden="false" localSheetId="2" name="_Sort" vbProcedure="false">#REF!</definedName>
    <definedName function="false" hidden="false" localSheetId="2" name="__123Graph_A" vbProcedure="false">#REF!</definedName>
    <definedName function="false" hidden="false" localSheetId="2" name="__123Graph_ABUDGET" vbProcedure="false">#REF!</definedName>
    <definedName function="false" hidden="false" localSheetId="2" name="__123Graph_ACorrente" vbProcedure="false">#REF!</definedName>
    <definedName function="false" hidden="false" localSheetId="2" name="__123Graph_ACURRENT" vbProcedure="false">#REF!</definedName>
    <definedName function="false" hidden="false" localSheetId="2" name="__123Graph_APRIOR" vbProcedure="false">#REF!</definedName>
    <definedName function="false" hidden="false" localSheetId="2" name="__123Graph_B" vbProcedure="false">#REF!</definedName>
    <definedName function="false" hidden="false" localSheetId="2" name="__123Graph_BBUDGET" vbProcedure="false">#REF!</definedName>
    <definedName function="false" hidden="false" localSheetId="2" name="__123Graph_BCorrente" vbProcedure="false">#REF!</definedName>
    <definedName function="false" hidden="false" localSheetId="2" name="__123Graph_BCURRENT" vbProcedure="false">#REF!</definedName>
    <definedName function="false" hidden="false" localSheetId="2" name="__123Graph_BPRIOR" vbProcedure="false">#REF!</definedName>
    <definedName function="false" hidden="false" localSheetId="2" name="__123Graph_C" vbProcedure="false">#REF!</definedName>
    <definedName function="false" hidden="false" localSheetId="2" name="__123Graph_CBUDGET" vbProcedure="false">#REF!</definedName>
    <definedName function="false" hidden="false" localSheetId="2" name="__123Graph_CCorrente" vbProcedure="false">#REF!</definedName>
    <definedName function="false" hidden="false" localSheetId="2" name="__123Graph_CCURRENT" vbProcedure="false">#REF!</definedName>
    <definedName function="false" hidden="false" localSheetId="2" name="__123Graph_CPRIOR" vbProcedure="false">#REF!</definedName>
    <definedName function="false" hidden="false" localSheetId="2" name="__123Graph_D" vbProcedure="false">#REF!</definedName>
    <definedName function="false" hidden="false" localSheetId="2" name="__123Graph_DBUDGET" vbProcedure="false">#REF!</definedName>
    <definedName function="false" hidden="false" localSheetId="2" name="__123Graph_DCorrente" vbProcedure="false">#REF!</definedName>
    <definedName function="false" hidden="false" localSheetId="2" name="__123Graph_DCURRENT" vbProcedure="false">#REF!</definedName>
    <definedName function="false" hidden="false" localSheetId="2" name="__123Graph_DPRIOR" vbProcedure="false">#REF!</definedName>
    <definedName function="false" hidden="false" localSheetId="2" name="__123Graph_E" vbProcedure="false">#REF!</definedName>
    <definedName function="false" hidden="false" localSheetId="2" name="__123Graph_ECorrente" vbProcedure="false">#REF!</definedName>
    <definedName function="false" hidden="false" localSheetId="2" name="__123Graph_F" vbProcedure="false">#REF!</definedName>
    <definedName function="false" hidden="false" localSheetId="2" name="__123Graph_FCorrente" vbProcedure="false">#REF!</definedName>
    <definedName function="false" hidden="false" localSheetId="2" name="__123Graph_X" vbProcedure="false">#REF!</definedName>
    <definedName function="false" hidden="false" localSheetId="2" name="__123Graph_XBUDGET" vbProcedure="false">#REF!</definedName>
    <definedName function="false" hidden="false" localSheetId="2" name="__123Graph_XCURRENT" vbProcedure="false">#REF!</definedName>
    <definedName function="false" hidden="false" localSheetId="2" name="__123Graph_XPRIOR" vbProcedure="false">#REF!</definedName>
    <definedName function="false" hidden="false" localSheetId="2" name="___KEY2" vbProcedure="false">#REF!</definedName>
    <definedName function="false" hidden="false" localSheetId="12" name="CS" vbProcedure="false">#REF!</definedName>
    <definedName function="false" hidden="false" localSheetId="12" name="J" vbProcedure="false">#REF!</definedName>
    <definedName function="false" hidden="false" localSheetId="12" name="KK" vbProcedure="false">#REF!</definedName>
    <definedName function="false" hidden="false" localSheetId="12" name="lbl_message" vbProcedure="false">#REF!</definedName>
    <definedName function="false" hidden="false" localSheetId="12" name="pippo" vbProcedure="false">#REF!</definedName>
    <definedName function="false" hidden="false" localSheetId="12" name="pluto" vbProcedure="false">#REF!</definedName>
    <definedName function="false" hidden="false" localSheetId="12" name="sales" vbProcedure="false">#REF!</definedName>
    <definedName function="false" hidden="false" localSheetId="12" name="SORT" vbProcedure="false">#REF!</definedName>
    <definedName function="false" hidden="false" localSheetId="12" name="sort3" vbProcedure="false">#REF!</definedName>
    <definedName function="false" hidden="false" localSheetId="12" name="sssssssssssss" vbProcedure="false">#REF!</definedName>
    <definedName function="false" hidden="false" localSheetId="12" name="test" vbProcedure="false">#REF!</definedName>
    <definedName function="false" hidden="false" localSheetId="12" name="TXTSH" vbProcedure="false">#REF!</definedName>
    <definedName function="false" hidden="false" localSheetId="12" name="TXTUS" vbProcedure="false">#REF!</definedName>
    <definedName function="false" hidden="false" localSheetId="12" name="variazione" vbProcedure="false">#REF!</definedName>
    <definedName function="false" hidden="false" localSheetId="12" name="_" vbProcedure="false">#REF!</definedName>
    <definedName function="false" hidden="false" localSheetId="12" name="_10_0_0_F" vbProcedure="false">#REF!</definedName>
    <definedName function="false" hidden="false" localSheetId="12" name="_10_0__123Grap" vbProcedure="false">#REF!</definedName>
    <definedName function="false" hidden="false" localSheetId="12" name="_12_0_0_F" vbProcedure="false">#REF!</definedName>
    <definedName function="false" hidden="false" localSheetId="12" name="_12_0__123Grap" vbProcedure="false">#REF!</definedName>
    <definedName function="false" hidden="false" localSheetId="12" name="_14_0_0_F" vbProcedure="false">#REF!</definedName>
    <definedName function="false" hidden="false" localSheetId="12" name="_1F" vbProcedure="false">#REF!</definedName>
    <definedName function="false" hidden="false" localSheetId="12" name="_2_0__123Grap" vbProcedure="false">#REF!</definedName>
    <definedName function="false" hidden="false" localSheetId="12" name="_3_0__123Grap" vbProcedure="false">#REF!</definedName>
    <definedName function="false" hidden="false" localSheetId="12" name="_4_0_0_F" vbProcedure="false">#REF!</definedName>
    <definedName function="false" hidden="false" localSheetId="12" name="_4_0__123Grap" vbProcedure="false">#REF!</definedName>
    <definedName function="false" hidden="false" localSheetId="12" name="_5F" vbProcedure="false">#REF!</definedName>
    <definedName function="false" hidden="false" localSheetId="12" name="_5_0__123Grap" vbProcedure="false">#REF!</definedName>
    <definedName function="false" hidden="false" localSheetId="12" name="_6F" vbProcedure="false">#REF!</definedName>
    <definedName function="false" hidden="false" localSheetId="12" name="_6_0__123Grap" vbProcedure="false">#REF!</definedName>
    <definedName function="false" hidden="false" localSheetId="12" name="_7_0__123Grap" vbProcedure="false">#REF!</definedName>
    <definedName function="false" hidden="false" localSheetId="12" name="_8_0__123Grap" vbProcedure="false">#REF!</definedName>
    <definedName function="false" hidden="false" localSheetId="12" name="_Dist_Values" vbProcedure="false">#REF!</definedName>
    <definedName function="false" hidden="false" localSheetId="12" name="_Fill" vbProcedure="false">#REF!</definedName>
    <definedName function="false" hidden="false" localSheetId="12" name="_Key1" vbProcedure="false">#REF!</definedName>
    <definedName function="false" hidden="false" localSheetId="12" name="_key11" vbProcedure="false">#REF!</definedName>
    <definedName function="false" hidden="false" localSheetId="12" name="_KEY2" vbProcedure="false">#REF!</definedName>
    <definedName function="false" hidden="false" localSheetId="12" name="_Sort" vbProcedure="false">#REF!</definedName>
    <definedName function="false" hidden="false" localSheetId="12" name="__123Graph_A" vbProcedure="false">#REF!</definedName>
    <definedName function="false" hidden="false" localSheetId="12" name="__123Graph_ABUDGET" vbProcedure="false">#REF!</definedName>
    <definedName function="false" hidden="false" localSheetId="12" name="__123Graph_ACorrente" vbProcedure="false">#REF!</definedName>
    <definedName function="false" hidden="false" localSheetId="12" name="__123Graph_ACURRENT" vbProcedure="false">#REF!</definedName>
    <definedName function="false" hidden="false" localSheetId="12" name="__123Graph_APRIOR" vbProcedure="false">#REF!</definedName>
    <definedName function="false" hidden="false" localSheetId="12" name="__123Graph_B" vbProcedure="false">#REF!</definedName>
    <definedName function="false" hidden="false" localSheetId="12" name="__123Graph_BBUDGET" vbProcedure="false">#REF!</definedName>
    <definedName function="false" hidden="false" localSheetId="12" name="__123Graph_BCorrente" vbProcedure="false">#REF!</definedName>
    <definedName function="false" hidden="false" localSheetId="12" name="__123Graph_BCURRENT" vbProcedure="false">#REF!</definedName>
    <definedName function="false" hidden="false" localSheetId="12" name="__123Graph_BPRIOR" vbProcedure="false">#REF!</definedName>
    <definedName function="false" hidden="false" localSheetId="12" name="__123Graph_C" vbProcedure="false">#REF!</definedName>
    <definedName function="false" hidden="false" localSheetId="12" name="__123Graph_CBUDGET" vbProcedure="false">#REF!</definedName>
    <definedName function="false" hidden="false" localSheetId="12" name="__123Graph_CCorrente" vbProcedure="false">#REF!</definedName>
    <definedName function="false" hidden="false" localSheetId="12" name="__123Graph_CCURRENT" vbProcedure="false">#REF!</definedName>
    <definedName function="false" hidden="false" localSheetId="12" name="__123Graph_CPRIOR" vbProcedure="false">#REF!</definedName>
    <definedName function="false" hidden="false" localSheetId="12" name="__123Graph_D" vbProcedure="false">#REF!</definedName>
    <definedName function="false" hidden="false" localSheetId="12" name="__123Graph_DBUDGET" vbProcedure="false">#REF!</definedName>
    <definedName function="false" hidden="false" localSheetId="12" name="__123Graph_DCorrente" vbProcedure="false">#REF!</definedName>
    <definedName function="false" hidden="false" localSheetId="12" name="__123Graph_DCURRENT" vbProcedure="false">#REF!</definedName>
    <definedName function="false" hidden="false" localSheetId="12" name="__123Graph_DPRIOR" vbProcedure="false">#REF!</definedName>
    <definedName function="false" hidden="false" localSheetId="12" name="__123Graph_E" vbProcedure="false">#REF!</definedName>
    <definedName function="false" hidden="false" localSheetId="12" name="__123Graph_ECorrente" vbProcedure="false">#REF!</definedName>
    <definedName function="false" hidden="false" localSheetId="12" name="__123Graph_F" vbProcedure="false">#REF!</definedName>
    <definedName function="false" hidden="false" localSheetId="12" name="__123Graph_FCorrente" vbProcedure="false">#REF!</definedName>
    <definedName function="false" hidden="false" localSheetId="12" name="__123Graph_X" vbProcedure="false">#REF!</definedName>
    <definedName function="false" hidden="false" localSheetId="12" name="__123Graph_XBUDGET" vbProcedure="false">#REF!</definedName>
    <definedName function="false" hidden="false" localSheetId="12" name="__123Graph_XCURRENT" vbProcedure="false">#REF!</definedName>
    <definedName function="false" hidden="false" localSheetId="12" name="__123Graph_XPRIOR" vbProcedure="false">#REF!</definedName>
    <definedName function="false" hidden="false" localSheetId="12" name="___KEY2" vbProcedure="false">#REF!</definedName>
    <definedName function="false" hidden="false" localSheetId="14" name="lbl_message" vbProcedure="false">#REF!</definedName>
    <definedName function="false" hidden="false" localSheetId="14" name="TXTSH" vbProcedure="false">#REF!</definedName>
    <definedName function="false" hidden="false" localSheetId="14" name="TXTUS" vbProcedure="false">#REF!</definedName>
    <definedName function="false" hidden="false" localSheetId="28" name="AAAAA" vbProcedure="false">#REF!</definedName>
    <definedName function="false" hidden="false" localSheetId="28" name="AAAAAAAAA" vbProcedure="false">#REF!</definedName>
    <definedName function="false" hidden="false" localSheetId="28" name="adsfa" vbProcedure="false">#REF!</definedName>
    <definedName function="false" hidden="false" localSheetId="28" name="AGNES" vbProcedure="false">#REF!</definedName>
    <definedName function="false" hidden="false" localSheetId="28" name="ASDF" vbProcedure="false">#REF!</definedName>
    <definedName function="false" hidden="false" localSheetId="28" name="asfas" vbProcedure="false">#REF!</definedName>
    <definedName function="false" hidden="false" localSheetId="28" name="asfasf" vbProcedure="false">#REF!</definedName>
    <definedName function="false" hidden="false" localSheetId="28" name="bbbb" vbProcedure="false">#REF!</definedName>
    <definedName function="false" hidden="false" localSheetId="28" name="bbbbbb" vbProcedure="false">#REF!</definedName>
    <definedName function="false" hidden="false" localSheetId="28" name="cccc" vbProcedure="false">#REF!</definedName>
    <definedName function="false" hidden="false" localSheetId="28" name="ccccc" vbProcedure="false">#REF!</definedName>
    <definedName function="false" hidden="false" localSheetId="28" name="CS" vbProcedure="false">#REF!</definedName>
    <definedName function="false" hidden="false" localSheetId="28" name="cx" vbProcedure="false">#REF!</definedName>
    <definedName function="false" hidden="false" localSheetId="28" name="DCOS07" vbProcedure="false">#REF!</definedName>
    <definedName function="false" hidden="false" localSheetId="28" name="dcos071" vbProcedure="false">#REF!</definedName>
    <definedName function="false" hidden="false" localSheetId="28" name="ddddddddddddddd" vbProcedure="false">#REF!</definedName>
    <definedName function="false" hidden="false" localSheetId="28" name="dfsgsdfg" vbProcedure="false">#REF!</definedName>
    <definedName function="false" hidden="false" localSheetId="28" name="ed" vbProcedure="false">#REF!</definedName>
    <definedName function="false" hidden="false" localSheetId="28" name="ELVIS" vbProcedure="false">#REF!</definedName>
    <definedName function="false" hidden="false" localSheetId="28" name="ELVIS1" vbProcedure="false">#REF!</definedName>
    <definedName function="false" hidden="false" localSheetId="28" name="ew" vbProcedure="false">#REF!</definedName>
    <definedName function="false" hidden="false" localSheetId="28" name="fd" vbProcedure="false">#REF!</definedName>
    <definedName function="false" hidden="false" localSheetId="28" name="fsd" vbProcedure="false">#REF!</definedName>
    <definedName function="false" hidden="false" localSheetId="28" name="fsdgsdfg" vbProcedure="false">#REF!</definedName>
    <definedName function="false" hidden="false" localSheetId="28" name="fsggdfg" vbProcedure="false">#REF!</definedName>
    <definedName function="false" hidden="false" localSheetId="28" name="GA" vbProcedure="false">#REF!</definedName>
    <definedName function="false" hidden="false" localSheetId="28" name="gas" vbProcedure="false">#REF!</definedName>
    <definedName function="false" hidden="false" localSheetId="28" name="gdsfgsd" vbProcedure="false">#REF!</definedName>
    <definedName function="false" hidden="false" localSheetId="28" name="gf" vbProcedure="false">#REF!</definedName>
    <definedName function="false" hidden="false" localSheetId="28" name="gfsd" vbProcedure="false">#REF!</definedName>
    <definedName function="false" hidden="false" localSheetId="28" name="gfsdgsadf" vbProcedure="false">#REF!</definedName>
    <definedName function="false" hidden="false" localSheetId="28" name="GGGGG" vbProcedure="false">#REF!</definedName>
    <definedName function="false" hidden="false" localSheetId="28" name="ghd" vbProcedure="false">#REF!</definedName>
    <definedName function="false" hidden="false" localSheetId="28" name="gsdfgsd" vbProcedure="false">#REF!</definedName>
    <definedName function="false" hidden="false" localSheetId="28" name="gsdfgsfd" vbProcedure="false">#REF!</definedName>
    <definedName function="false" hidden="false" localSheetId="28" name="gsertgae" vbProcedure="false">#REF!</definedName>
    <definedName function="false" hidden="false" localSheetId="28" name="gt" vbProcedure="false">#REF!</definedName>
    <definedName function="false" hidden="false" localSheetId="28" name="gzdfgzd" vbProcedure="false">#REF!</definedName>
    <definedName function="false" hidden="false" localSheetId="28" name="hg" vbProcedure="false">#REF!</definedName>
    <definedName function="false" hidden="false" localSheetId="28" name="hgdf" vbProcedure="false">#REF!</definedName>
    <definedName function="false" hidden="false" localSheetId="28" name="hgf" vbProcedure="false">#REF!</definedName>
    <definedName function="false" hidden="false" localSheetId="28" name="hgfs" vbProcedure="false">#REF!</definedName>
    <definedName function="false" hidden="false" localSheetId="28" name="hgsfs" vbProcedure="false">#REF!</definedName>
    <definedName function="false" hidden="false" localSheetId="28" name="hola1" vbProcedure="false">#REF!</definedName>
    <definedName function="false" hidden="false" localSheetId="28" name="hs" vbProcedure="false">#REF!</definedName>
    <definedName function="false" hidden="false" localSheetId="28" name="hxgfn" vbProcedure="false">#REF!</definedName>
    <definedName function="false" hidden="false" localSheetId="28" name="hy" vbProcedure="false">#REF!</definedName>
    <definedName function="false" hidden="false" localSheetId="28" name="INODCS" vbProcedure="false">#REF!</definedName>
    <definedName function="false" hidden="false" localSheetId="28" name="J" vbProcedure="false">#REF!</definedName>
    <definedName function="false" hidden="false" localSheetId="28" name="KK" vbProcedure="false">#REF!</definedName>
    <definedName function="false" hidden="false" localSheetId="28" name="lbl_message" vbProcedure="false">#REF!</definedName>
    <definedName function="false" hidden="false" localSheetId="28" name="pippo" vbProcedure="false">#REF!</definedName>
    <definedName function="false" hidden="false" localSheetId="28" name="pluto" vbProcedure="false">#REF!</definedName>
    <definedName function="false" hidden="false" localSheetId="28" name="sales" vbProcedure="false">#REF!</definedName>
    <definedName function="false" hidden="false" localSheetId="28" name="SORT" vbProcedure="false">#REF!</definedName>
    <definedName function="false" hidden="false" localSheetId="28" name="sort3" vbProcedure="false">#REF!</definedName>
    <definedName function="false" hidden="false" localSheetId="28" name="sssssssssssss" vbProcedure="false">#REF!</definedName>
    <definedName function="false" hidden="false" localSheetId="28" name="test" vbProcedure="false">#REF!</definedName>
    <definedName function="false" hidden="false" localSheetId="28" name="TXTSH" vbProcedure="false">#REF!</definedName>
    <definedName function="false" hidden="false" localSheetId="28" name="TXTUS" vbProcedure="false">#REF!</definedName>
    <definedName function="false" hidden="false" localSheetId="28" name="variazione" vbProcedure="false">#REF!</definedName>
    <definedName function="false" hidden="false" localSheetId="28" name="_" vbProcedure="false">#REF!</definedName>
    <definedName function="false" hidden="false" localSheetId="28" name="_10_0_0_F" vbProcedure="false">#REF!</definedName>
    <definedName function="false" hidden="false" localSheetId="28" name="_10_0__123Grap" vbProcedure="false">#REF!</definedName>
    <definedName function="false" hidden="false" localSheetId="28" name="_12_0_0_F" vbProcedure="false">#REF!</definedName>
    <definedName function="false" hidden="false" localSheetId="28" name="_12_0__123Grap" vbProcedure="false">#REF!</definedName>
    <definedName function="false" hidden="false" localSheetId="28" name="_14_0_0_F" vbProcedure="false">#REF!</definedName>
    <definedName function="false" hidden="false" localSheetId="28" name="_1F" vbProcedure="false">#REF!</definedName>
    <definedName function="false" hidden="false" localSheetId="28" name="_2_0__123Grap" vbProcedure="false">#REF!</definedName>
    <definedName function="false" hidden="false" localSheetId="28" name="_3_0__123Grap" vbProcedure="false">#REF!</definedName>
    <definedName function="false" hidden="false" localSheetId="28" name="_4_0_0_F" vbProcedure="false">#REF!</definedName>
    <definedName function="false" hidden="false" localSheetId="28" name="_4_0__123Grap" vbProcedure="false">#REF!</definedName>
    <definedName function="false" hidden="false" localSheetId="28" name="_5F" vbProcedure="false">#REF!</definedName>
    <definedName function="false" hidden="false" localSheetId="28" name="_5_0__123Grap" vbProcedure="false">#REF!</definedName>
    <definedName function="false" hidden="false" localSheetId="28" name="_6F" vbProcedure="false">#REF!</definedName>
    <definedName function="false" hidden="false" localSheetId="28" name="_6_0__123Grap" vbProcedure="false">#REF!</definedName>
    <definedName function="false" hidden="false" localSheetId="28" name="_7_0__123Grap" vbProcedure="false">#REF!</definedName>
    <definedName function="false" hidden="false" localSheetId="28" name="_8_0__123Grap" vbProcedure="false">#REF!</definedName>
    <definedName function="false" hidden="false" localSheetId="28" name="_Dist_Values" vbProcedure="false">#REF!</definedName>
    <definedName function="false" hidden="false" localSheetId="28" name="_Fill" vbProcedure="false">#REF!</definedName>
    <definedName function="false" hidden="false" localSheetId="28" name="_Key1" vbProcedure="false">#REF!</definedName>
    <definedName function="false" hidden="false" localSheetId="28" name="_key11" vbProcedure="false">#REF!</definedName>
    <definedName function="false" hidden="false" localSheetId="28" name="_KEY2" vbProcedure="false">#REF!</definedName>
    <definedName function="false" hidden="false" localSheetId="28" name="_Sort" vbProcedure="false">#REF!</definedName>
    <definedName function="false" hidden="false" localSheetId="28" name="__123Graph_A" vbProcedure="false">#REF!</definedName>
    <definedName function="false" hidden="false" localSheetId="28" name="__123Graph_ABUDGET" vbProcedure="false">#REF!</definedName>
    <definedName function="false" hidden="false" localSheetId="28" name="__123Graph_ACorrente" vbProcedure="false">#REF!</definedName>
    <definedName function="false" hidden="false" localSheetId="28" name="__123Graph_ACURRENT" vbProcedure="false">#REF!</definedName>
    <definedName function="false" hidden="false" localSheetId="28" name="__123Graph_APRIOR" vbProcedure="false">#REF!</definedName>
    <definedName function="false" hidden="false" localSheetId="28" name="__123Graph_B" vbProcedure="false">#REF!</definedName>
    <definedName function="false" hidden="false" localSheetId="28" name="__123Graph_BBUDGET" vbProcedure="false">#REF!</definedName>
    <definedName function="false" hidden="false" localSheetId="28" name="__123Graph_BCorrente" vbProcedure="false">#REF!</definedName>
    <definedName function="false" hidden="false" localSheetId="28" name="__123Graph_BCURRENT" vbProcedure="false">#REF!</definedName>
    <definedName function="false" hidden="false" localSheetId="28" name="__123Graph_BPRIOR" vbProcedure="false">#REF!</definedName>
    <definedName function="false" hidden="false" localSheetId="28" name="__123Graph_C" vbProcedure="false">#REF!</definedName>
    <definedName function="false" hidden="false" localSheetId="28" name="__123Graph_CBUDGET" vbProcedure="false">#REF!</definedName>
    <definedName function="false" hidden="false" localSheetId="28" name="__123Graph_CCorrente" vbProcedure="false">#REF!</definedName>
    <definedName function="false" hidden="false" localSheetId="28" name="__123Graph_CCURRENT" vbProcedure="false">#REF!</definedName>
    <definedName function="false" hidden="false" localSheetId="28" name="__123Graph_CPRIOR" vbProcedure="false">#REF!</definedName>
    <definedName function="false" hidden="false" localSheetId="28" name="__123Graph_D" vbProcedure="false">#REF!</definedName>
    <definedName function="false" hidden="false" localSheetId="28" name="__123Graph_DBUDGET" vbProcedure="false">#REF!</definedName>
    <definedName function="false" hidden="false" localSheetId="28" name="__123Graph_DCorrente" vbProcedure="false">#REF!</definedName>
    <definedName function="false" hidden="false" localSheetId="28" name="__123Graph_DCURRENT" vbProcedure="false">#REF!</definedName>
    <definedName function="false" hidden="false" localSheetId="28" name="__123Graph_DPRIOR" vbProcedure="false">#REF!</definedName>
    <definedName function="false" hidden="false" localSheetId="28" name="__123Graph_E" vbProcedure="false">#REF!</definedName>
    <definedName function="false" hidden="false" localSheetId="28" name="__123Graph_ECorrente" vbProcedure="false">#REF!</definedName>
    <definedName function="false" hidden="false" localSheetId="28" name="__123Graph_F" vbProcedure="false">#REF!</definedName>
    <definedName function="false" hidden="false" localSheetId="28" name="__123Graph_FCorrente" vbProcedure="false">#REF!</definedName>
    <definedName function="false" hidden="false" localSheetId="28" name="__123Graph_X" vbProcedure="false">#REF!</definedName>
    <definedName function="false" hidden="false" localSheetId="28" name="__123Graph_XBUDGET" vbProcedure="false">#REF!</definedName>
    <definedName function="false" hidden="false" localSheetId="28" name="__123Graph_XCURRENT" vbProcedure="false">#REF!</definedName>
    <definedName function="false" hidden="false" localSheetId="28" name="__123Graph_XPRIOR" vbProcedure="false">#REF!</definedName>
    <definedName function="false" hidden="false" localSheetId="28" name="___KEY2" vbProcedure="false">#REF!</definedName>
    <definedName function="false" hidden="false" localSheetId="28" name="___l" vbProcedure="false">#REF!</definedName>
    <definedName function="false" hidden="false" localSheetId="28" name="____l" vbProcedure="false">#REF!</definedName>
    <definedName function="false" hidden="false" localSheetId="28" name="_______l" vbProcedure="false">#REF!</definedName>
    <definedName function="false" hidden="false" localSheetId="30" name="lbl_message" vbProcedure="false">#REF!</definedName>
    <definedName function="false" hidden="false" localSheetId="30" name="TXTSH" vbProcedure="false">#REF!</definedName>
    <definedName function="false" hidden="false" localSheetId="30" name="TXTUS" vbProcedure="false">#REF!</definedName>
    <definedName function="false" hidden="false" localSheetId="31" name="lbl_message" vbProcedure="false">#REF!</definedName>
    <definedName function="false" hidden="false" localSheetId="31" name="TXTSH" vbProcedure="false">#REF!</definedName>
    <definedName function="false" hidden="false" localSheetId="31" name="TXTUS" vbProcedure="false">#REF!</definedName>
    <definedName function="false" hidden="false" localSheetId="33" name="lbl_message" vbProcedure="false">#REF!</definedName>
    <definedName function="false" hidden="false" localSheetId="33" name="TXTSH" vbProcedure="false">#REF!</definedName>
    <definedName function="false" hidden="false" localSheetId="33" name="TXTU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<sst xmlns="http://schemas.openxmlformats.org/spreadsheetml/2006/main" count="2189" uniqueCount="357">
  <si>
    <t xml:space="preserve">PREÇO PARA PUBLICAÇÃO - MAR.26</t>
  </si>
  <si>
    <t xml:space="preserve">a cada 10.000 Km ou 1 ano</t>
  </si>
  <si>
    <t xml:space="preserve">Ano / Modelo</t>
  </si>
  <si>
    <t xml:space="preserve">1ª revisão</t>
  </si>
  <si>
    <t xml:space="preserve">2ª revisão</t>
  </si>
  <si>
    <t xml:space="preserve">3ª revisão</t>
  </si>
  <si>
    <t xml:space="preserve">4ª revisão</t>
  </si>
  <si>
    <t xml:space="preserve">5ª revisão</t>
  </si>
  <si>
    <t xml:space="preserve">6ª revisão</t>
  </si>
  <si>
    <t xml:space="preserve">7ª revisão</t>
  </si>
  <si>
    <t xml:space="preserve">8ª revisão</t>
  </si>
  <si>
    <t xml:space="preserve">9ª revisão</t>
  </si>
  <si>
    <t xml:space="preserve">10ª revisão</t>
  </si>
  <si>
    <t xml:space="preserve">TITANO MANUAL</t>
  </si>
  <si>
    <t xml:space="preserve">TITANO AUTOMÁTICO</t>
  </si>
  <si>
    <t xml:space="preserve">a cada 20.000 Km ou 1 ano</t>
  </si>
  <si>
    <t xml:space="preserve">Modelo e Motorização</t>
  </si>
  <si>
    <t xml:space="preserve">1a revisão</t>
  </si>
  <si>
    <t xml:space="preserve">2a revisão</t>
  </si>
  <si>
    <t xml:space="preserve">3a revisão</t>
  </si>
  <si>
    <t xml:space="preserve">4a revisão</t>
  </si>
  <si>
    <t xml:space="preserve">5a revisão</t>
  </si>
  <si>
    <t xml:space="preserve">6a revisão</t>
  </si>
  <si>
    <t xml:space="preserve">7a revisão</t>
  </si>
  <si>
    <t xml:space="preserve">8a revisão</t>
  </si>
  <si>
    <t xml:space="preserve">9a revisão</t>
  </si>
  <si>
    <t xml:space="preserve">10a revisão</t>
  </si>
  <si>
    <t xml:space="preserve">a cada 15.000 Km ou 1 ano</t>
  </si>
  <si>
    <t xml:space="preserve">CRONOS 1.0 até MY26</t>
  </si>
  <si>
    <t xml:space="preserve">PLANO DE MANUTENÇÃO</t>
  </si>
  <si>
    <t xml:space="preserve">CUSTOS DE MANUTENÇÃO [R$]</t>
  </si>
  <si>
    <t xml:space="preserve">Total</t>
  </si>
  <si>
    <t xml:space="preserve">Nº</t>
  </si>
  <si>
    <t xml:space="preserve">ITENS DE SUBSTITUIÇÃO OBRIGATÓRIA</t>
  </si>
  <si>
    <t xml:space="preserve">PN</t>
  </si>
  <si>
    <t xml:space="preserve">P. PUB.</t>
  </si>
  <si>
    <t xml:space="preserve">1a</t>
  </si>
  <si>
    <t xml:space="preserve">2a</t>
  </si>
  <si>
    <t xml:space="preserve">3a</t>
  </si>
  <si>
    <t xml:space="preserve">4a</t>
  </si>
  <si>
    <t xml:space="preserve">5a</t>
  </si>
  <si>
    <t xml:space="preserve">6a</t>
  </si>
  <si>
    <t xml:space="preserve">7a</t>
  </si>
  <si>
    <t xml:space="preserve">8a</t>
  </si>
  <si>
    <t xml:space="preserve">9a</t>
  </si>
  <si>
    <t xml:space="preserve">10a</t>
  </si>
  <si>
    <t xml:space="preserve">% 100</t>
  </si>
  <si>
    <t xml:space="preserve">TTL 100</t>
  </si>
  <si>
    <t xml:space="preserve">Filtro de Óleo do Motor</t>
  </si>
  <si>
    <t xml:space="preserve">7094709</t>
  </si>
  <si>
    <t xml:space="preserve">Filtro de Combustível</t>
  </si>
  <si>
    <t xml:space="preserve">52162685</t>
  </si>
  <si>
    <t xml:space="preserve">Filtro de Ar</t>
  </si>
  <si>
    <t xml:space="preserve">52046268</t>
  </si>
  <si>
    <t xml:space="preserve">Velas de Ignição</t>
  </si>
  <si>
    <t xml:space="preserve">55267995</t>
  </si>
  <si>
    <t xml:space="preserve">Correia dos Órgãos Auxiliares</t>
  </si>
  <si>
    <t xml:space="preserve">55267966</t>
  </si>
  <si>
    <t xml:space="preserve">Óleo da caixa de cambio mecanica - SAE 75W – API GL4</t>
  </si>
  <si>
    <t xml:space="preserve">7095576</t>
  </si>
  <si>
    <t xml:space="preserve">MOPAR BRAKE FLUID DOT 4 - A cada 2 anos</t>
  </si>
  <si>
    <t xml:space="preserve">K04549625LA_F</t>
  </si>
  <si>
    <t xml:space="preserve">MOPAR MAXPRO SYNTHETIC 0W20 (SP/GF-6A)</t>
  </si>
  <si>
    <t xml:space="preserve">K68218951LA_F</t>
  </si>
  <si>
    <t xml:space="preserve">Tempo Padrão de Mão-De-Obra [horas]</t>
  </si>
  <si>
    <t xml:space="preserve">MO FIAT</t>
  </si>
  <si>
    <t xml:space="preserve">CRONOS 1.0 MY27</t>
  </si>
  <si>
    <t xml:space="preserve">Filtro de óleo do motor </t>
  </si>
  <si>
    <t xml:space="preserve">Elemento do filtro de ar do motor</t>
  </si>
  <si>
    <t xml:space="preserve">Filtro de ar limpo do canister</t>
  </si>
  <si>
    <t xml:space="preserve">7096883</t>
  </si>
  <si>
    <t xml:space="preserve">Velas de ignição do motor (a cada 40.000 km, independente do tempo)</t>
  </si>
  <si>
    <t xml:space="preserve">Correia dos órgão auxiliares (a cada 60.000 km ou 4 anos, o que ocorrer primeiro)</t>
  </si>
  <si>
    <t xml:space="preserve">Substituição do óleo da caixa de cambio mecanica</t>
  </si>
  <si>
    <t xml:space="preserve">Fluído de freio (a cada 40.000 km ou 2 anos, ou que ocurrer primeiro)</t>
  </si>
  <si>
    <t xml:space="preserve">Óleo do motor - MOPAR MAXPRO SYNTHETIC 0W20 (SP/GF-6A)</t>
  </si>
  <si>
    <t xml:space="preserve">CRONOS 1.3 até MY26</t>
  </si>
  <si>
    <t xml:space="preserve">8a </t>
  </si>
  <si>
    <t xml:space="preserve">9a </t>
  </si>
  <si>
    <t xml:space="preserve">CRONOS 1.3 MY27 MT</t>
  </si>
  <si>
    <t xml:space="preserve">CRONOS 1.3 MY27 AT</t>
  </si>
  <si>
    <t xml:space="preserve">CRONOS 1.8</t>
  </si>
  <si>
    <t xml:space="preserve">7087808</t>
  </si>
  <si>
    <t xml:space="preserve">Filtro Combustível</t>
  </si>
  <si>
    <t xml:space="preserve">52062431</t>
  </si>
  <si>
    <t xml:space="preserve">Vela Ignição</t>
  </si>
  <si>
    <t xml:space="preserve">46348847</t>
  </si>
  <si>
    <t xml:space="preserve">Correia dos Orgãos Auxiliares</t>
  </si>
  <si>
    <t xml:space="preserve">55258359</t>
  </si>
  <si>
    <t xml:space="preserve">MOPAR MAXPRO 5W30 (SN/GF-5)</t>
  </si>
  <si>
    <t xml:space="preserve">K68218921LA_F</t>
  </si>
  <si>
    <t xml:space="preserve">UNO 1.0 FIRE</t>
  </si>
  <si>
    <t xml:space="preserve">VELA IGNICAO</t>
  </si>
  <si>
    <t xml:space="preserve">46480362</t>
  </si>
  <si>
    <t xml:space="preserve">CORREIA DISTRIBUICAO</t>
  </si>
  <si>
    <t xml:space="preserve">46337687</t>
  </si>
  <si>
    <t xml:space="preserve">FILTRO OLEO</t>
  </si>
  <si>
    <t xml:space="preserve">46751179</t>
  </si>
  <si>
    <t xml:space="preserve">FILTRO COMBUSTIVEL</t>
  </si>
  <si>
    <t xml:space="preserve">ELEMENTO FILTRANTE</t>
  </si>
  <si>
    <t xml:space="preserve">51854598</t>
  </si>
  <si>
    <t xml:space="preserve">CORREIA TRANSMISSAO C/ AC</t>
  </si>
  <si>
    <t xml:space="preserve">55236185</t>
  </si>
  <si>
    <t xml:space="preserve">CORREIA TRANSMISSAO DH</t>
  </si>
  <si>
    <t xml:space="preserve">46744566</t>
  </si>
  <si>
    <t xml:space="preserve">UNO 1.0 FIREFLY</t>
  </si>
  <si>
    <t xml:space="preserve">Vela de Ignição</t>
  </si>
  <si>
    <t xml:space="preserve">UNO 1.3 FIREFLY</t>
  </si>
  <si>
    <t xml:space="preserve">PALIO WEEKEND 1.4</t>
  </si>
  <si>
    <t xml:space="preserve">7082141</t>
  </si>
  <si>
    <t xml:space="preserve">PALIO WEEKEND 1.8</t>
  </si>
  <si>
    <t xml:space="preserve">55267121</t>
  </si>
  <si>
    <t xml:space="preserve">51857956</t>
  </si>
  <si>
    <t xml:space="preserve">55244798</t>
  </si>
  <si>
    <t xml:space="preserve">GRAND SIENA 1.0</t>
  </si>
  <si>
    <t xml:space="preserve">Elemento Filtrante do Óleo</t>
  </si>
  <si>
    <t xml:space="preserve">Elemento Filtrante do Ar</t>
  </si>
  <si>
    <t xml:space="preserve">Correia Árvore Motor/Alternador/Compressor</t>
  </si>
  <si>
    <t xml:space="preserve">55258482</t>
  </si>
  <si>
    <t xml:space="preserve">CORREIA DISTRIBUIÇÃO</t>
  </si>
  <si>
    <t xml:space="preserve">GRAND SIENA 1.4</t>
  </si>
  <si>
    <t xml:space="preserve">55226520</t>
  </si>
  <si>
    <t xml:space="preserve">NOVA STRADA 1.0T</t>
  </si>
  <si>
    <t xml:space="preserve">46347605</t>
  </si>
  <si>
    <t xml:space="preserve">53489525</t>
  </si>
  <si>
    <t xml:space="preserve">52079874</t>
  </si>
  <si>
    <t xml:space="preserve">46336161</t>
  </si>
  <si>
    <t xml:space="preserve">MOPAR MAXPRO SYNTHETIC 0W30</t>
  </si>
  <si>
    <t xml:space="preserve">K68444160LA_F</t>
  </si>
  <si>
    <t xml:space="preserve">NOVA STRADA 1.3 AT</t>
  </si>
  <si>
    <t xml:space="preserve">]</t>
  </si>
  <si>
    <t xml:space="preserve">NOVA STRADA 1.3 MT</t>
  </si>
  <si>
    <t xml:space="preserve">Sustitucao do óleo da caixa de cambio mecanica
SAE 75W – API GL4 (Mopar Dual Dry Clutch Transmission Fluid)</t>
  </si>
  <si>
    <t xml:space="preserve">NOVA STRADA 1.4</t>
  </si>
  <si>
    <t xml:space="preserve">Correia Transmissão c/ AC</t>
  </si>
  <si>
    <t xml:space="preserve">Correia Transmissão DH</t>
  </si>
  <si>
    <t xml:space="preserve">55211240</t>
  </si>
  <si>
    <t xml:space="preserve">Correia Distribuição</t>
  </si>
  <si>
    <t xml:space="preserve">ARGO 1.0</t>
  </si>
  <si>
    <t xml:space="preserve">ARGO 1.3</t>
  </si>
  <si>
    <t xml:space="preserve">ARGO 1.8</t>
  </si>
  <si>
    <t xml:space="preserve">FIORINO 1.4 (21/21)</t>
  </si>
  <si>
    <t xml:space="preserve">11ª</t>
  </si>
  <si>
    <t xml:space="preserve">12ª</t>
  </si>
  <si>
    <t xml:space="preserve">13ª</t>
  </si>
  <si>
    <t xml:space="preserve">14ª</t>
  </si>
  <si>
    <t xml:space="preserve">15ª</t>
  </si>
  <si>
    <t xml:space="preserve">0,95</t>
  </si>
  <si>
    <t xml:space="preserve">1,20</t>
  </si>
  <si>
    <t xml:space="preserve">2,30</t>
  </si>
  <si>
    <t xml:space="preserve">FIORINO 1.4 (21/22)</t>
  </si>
  <si>
    <t xml:space="preserve">Correia dos órgão auxiliares DH (a cada 60.000 km ou 4 anos, o que ocorrer primeiro)</t>
  </si>
  <si>
    <t xml:space="preserve">FIORINO 1.3</t>
  </si>
  <si>
    <r>
      <rPr>
        <sz val="10"/>
        <color rgb="FF000000"/>
        <rFont val="Verdana"/>
        <family val="2"/>
        <charset val="1"/>
      </rPr>
      <t xml:space="preserve">Velas de Ignição </t>
    </r>
    <r>
      <rPr>
        <sz val="8"/>
        <color rgb="FF000000"/>
        <rFont val="Verdana"/>
        <family val="2"/>
        <charset val="1"/>
      </rPr>
      <t xml:space="preserve">(a cada 40.000 km, independente do tempo)</t>
    </r>
  </si>
  <si>
    <r>
      <rPr>
        <sz val="10"/>
        <color rgb="FF000000"/>
        <rFont val="Verdana"/>
        <family val="2"/>
        <charset val="1"/>
      </rPr>
      <t xml:space="preserve">Correia dos órgão auxiliares </t>
    </r>
    <r>
      <rPr>
        <sz val="8"/>
        <color rgb="FF000000"/>
        <rFont val="Verdana"/>
        <family val="2"/>
        <charset val="1"/>
      </rPr>
      <t xml:space="preserve">(a cada 60.000 km ou 4 anos, o que ocorrer primeiro)</t>
    </r>
  </si>
  <si>
    <t xml:space="preserve">Mopar Maxpro Syntetic 0W20 (SP/GF-6A)</t>
  </si>
  <si>
    <t xml:space="preserve">PULSE 1.0T AT</t>
  </si>
  <si>
    <t xml:space="preserve">PULSE 1.0T MT</t>
  </si>
  <si>
    <t xml:space="preserve">PULSE 1.3 AT</t>
  </si>
  <si>
    <t xml:space="preserve">PULSE 1.3 MT</t>
  </si>
  <si>
    <t xml:space="preserve">PULSE ABARTH 1.3T</t>
  </si>
  <si>
    <t xml:space="preserve">52080841</t>
  </si>
  <si>
    <t xml:space="preserve">FASTBACK 1.0T</t>
  </si>
  <si>
    <t xml:space="preserve">Correia dos órgão auxiliares (a cada 120.000 km ou 6 anos, o que ocorrer primeiro)</t>
  </si>
  <si>
    <t xml:space="preserve">46349670</t>
  </si>
  <si>
    <t xml:space="preserve">FASTBACK ABARTH 1.3T</t>
  </si>
  <si>
    <t xml:space="preserve">46348571</t>
  </si>
  <si>
    <t xml:space="preserve">MOBI 1.0 FIRE</t>
  </si>
  <si>
    <t xml:space="preserve">Elemento Filtrante do Filtro Óleo  </t>
  </si>
  <si>
    <t xml:space="preserve">Elemento Filtrante Ar</t>
  </si>
  <si>
    <t xml:space="preserve">Correia Dentada</t>
  </si>
  <si>
    <t xml:space="preserve">MOBI FIREFLY</t>
  </si>
  <si>
    <t xml:space="preserve">DOBLO 1.8</t>
  </si>
  <si>
    <t xml:space="preserve">TORO 1.8</t>
  </si>
  <si>
    <t xml:space="preserve">ELEMENTO FILTRANTE DO FILTRO ÓLEO</t>
  </si>
  <si>
    <t xml:space="preserve">ELEMENTO FILTRANTE FILTRO AR</t>
  </si>
  <si>
    <t xml:space="preserve">51977574</t>
  </si>
  <si>
    <t xml:space="preserve">VELA IGNIÇÃO</t>
  </si>
  <si>
    <t xml:space="preserve">CORREIAS DOS ÓRGÃOS AUXILIARES DO MOTOR</t>
  </si>
  <si>
    <t xml:space="preserve">MOPAR BRAKE FLUID DOT 4S - A cada 2 anos</t>
  </si>
  <si>
    <t xml:space="preserve">K04549626LA_F</t>
  </si>
  <si>
    <t xml:space="preserve">TORO 2.4</t>
  </si>
  <si>
    <t xml:space="preserve">50055447</t>
  </si>
  <si>
    <t xml:space="preserve">KSP148183AD</t>
  </si>
  <si>
    <t xml:space="preserve">50048146</t>
  </si>
  <si>
    <t xml:space="preserve">TORO 1.3T MY25</t>
  </si>
  <si>
    <t xml:space="preserve">1ª</t>
  </si>
  <si>
    <t xml:space="preserve">2ª</t>
  </si>
  <si>
    <t xml:space="preserve">3ª</t>
  </si>
  <si>
    <t xml:space="preserve">4ª</t>
  </si>
  <si>
    <t xml:space="preserve">5ª</t>
  </si>
  <si>
    <t xml:space="preserve">6ª</t>
  </si>
  <si>
    <t xml:space="preserve">7ª</t>
  </si>
  <si>
    <t xml:space="preserve">8ª</t>
  </si>
  <si>
    <t xml:space="preserve">9ª</t>
  </si>
  <si>
    <t xml:space="preserve">10ª</t>
  </si>
  <si>
    <t xml:space="preserve">16ª</t>
  </si>
  <si>
    <t xml:space="preserve">17ª</t>
  </si>
  <si>
    <t xml:space="preserve">18ª</t>
  </si>
  <si>
    <t xml:space="preserve">Elemento Filtrante do Filtro Óleo </t>
  </si>
  <si>
    <t xml:space="preserve">Elemento Filtrante Filtro Ar</t>
  </si>
  <si>
    <t xml:space="preserve">Correia Transmissão</t>
  </si>
  <si>
    <t xml:space="preserve">TORO 1.3T MY26</t>
  </si>
  <si>
    <t xml:space="preserve">7099618</t>
  </si>
  <si>
    <t xml:space="preserve">TORO 1.3T MY27</t>
  </si>
  <si>
    <t xml:space="preserve">Filtor de combustível</t>
  </si>
  <si>
    <t xml:space="preserve">Velas de ignição do motor (a cada 60.000 km, independente do tempo)</t>
  </si>
  <si>
    <t xml:space="preserve">Higienização do sistema de alimentação de combustível - Aditivo Isotech 012 Limpa Injetores GDI</t>
  </si>
  <si>
    <t xml:space="preserve">2850000479</t>
  </si>
  <si>
    <t xml:space="preserve">Fluído de freio (a cada 40.000 km ou 2 anos, o que ocorrer primeiro) - Mopar DOT 4S</t>
  </si>
  <si>
    <t xml:space="preserve">K04549626LA</t>
  </si>
  <si>
    <t xml:space="preserve">Substituição do líquido do sistema de arrefecimento do motor (a cada 240.000 km ou 10 anos, o que ocorrer primeiro)</t>
  </si>
  <si>
    <t xml:space="preserve">K68163849LA</t>
  </si>
  <si>
    <t xml:space="preserve">Óleo do motor - Mopar Maxpro Syntetic 0W30</t>
  </si>
  <si>
    <t xml:space="preserve">TORO 1.3T MHEV</t>
  </si>
  <si>
    <t xml:space="preserve">46360326</t>
  </si>
  <si>
    <t xml:space="preserve">TORO 2.0</t>
  </si>
  <si>
    <t xml:space="preserve">71754237</t>
  </si>
  <si>
    <t xml:space="preserve">77367623</t>
  </si>
  <si>
    <t xml:space="preserve">46354609</t>
  </si>
  <si>
    <t xml:space="preserve">CORREIA DENTADA</t>
  </si>
  <si>
    <t xml:space="preserve">46348274</t>
  </si>
  <si>
    <t xml:space="preserve">MOPAR MAXPRO DIESEL DPF C2 5W30</t>
  </si>
  <si>
    <t xml:space="preserve">K68231015LA_F</t>
  </si>
  <si>
    <t xml:space="preserve">TORO 2.2TD MY26</t>
  </si>
  <si>
    <t xml:space="preserve">Elementro Filtrante do Óleo</t>
  </si>
  <si>
    <t xml:space="preserve">46356228</t>
  </si>
  <si>
    <t xml:space="preserve">52234083</t>
  </si>
  <si>
    <t xml:space="preserve">Fluído de freio (a cada 40.000 km ou 2 anos, o que ocorrer primeiro)
MOPAR BRAKE FLUID DOT 4S</t>
  </si>
  <si>
    <t xml:space="preserve">Correia dos Orgãos Auxiliares (a cada 60.000 km ou 4 anos, o que ocorrer primeiro)</t>
  </si>
  <si>
    <t xml:space="preserve">46358641</t>
  </si>
  <si>
    <t xml:space="preserve">Correia Dentata (a cada 120.000 km ou 4 anos, o que ocorrer primeiro)</t>
  </si>
  <si>
    <t xml:space="preserve">46356229</t>
  </si>
  <si>
    <t xml:space="preserve">K68547228LA_F</t>
  </si>
  <si>
    <t xml:space="preserve">TORO 2.2TD MY27</t>
  </si>
  <si>
    <t xml:space="preserve">Elemento do filtro de óleo do motor </t>
  </si>
  <si>
    <t xml:space="preserve">Elemento do filtor de Combustível</t>
  </si>
  <si>
    <t xml:space="preserve">Higienização do sistema de alimentação de combustível
Aditivo DETOX DGA - SOLUBILIZANTE (180 ml)</t>
  </si>
  <si>
    <t xml:space="preserve">7098496</t>
  </si>
  <si>
    <t xml:space="preserve">Higienização do sistema de alimentação de combustível
Aditivo DT300 TREATMENT (370 ml)</t>
  </si>
  <si>
    <t xml:space="preserve">7099025</t>
  </si>
  <si>
    <t xml:space="preserve">Correia dentada do comando da distribuição do motor (a cada 120.000 km ou 4 anos, o que ocorrer primeiro)</t>
  </si>
  <si>
    <t xml:space="preserve">Óleo do motor - Mopar Maxpro Syntetic Diesel DPF C2 5W30</t>
  </si>
  <si>
    <t xml:space="preserve">DUCATO X250</t>
  </si>
  <si>
    <t xml:space="preserve">9809532380</t>
  </si>
  <si>
    <t xml:space="preserve">Anel do Bujão</t>
  </si>
  <si>
    <t xml:space="preserve">9400164889</t>
  </si>
  <si>
    <t xml:space="preserve">77368658</t>
  </si>
  <si>
    <t xml:space="preserve">7094559</t>
  </si>
  <si>
    <t xml:space="preserve">Filtro Anti Pólen</t>
  </si>
  <si>
    <t xml:space="preserve">6000633316</t>
  </si>
  <si>
    <t xml:space="preserve">Correia da distribuição</t>
  </si>
  <si>
    <t xml:space="preserve">9467642480</t>
  </si>
  <si>
    <t xml:space="preserve">Tensor da correia de distribuição</t>
  </si>
  <si>
    <t xml:space="preserve">155253402</t>
  </si>
  <si>
    <t xml:space="preserve">Bomba d'água</t>
  </si>
  <si>
    <t xml:space="preserve">155258297</t>
  </si>
  <si>
    <t xml:space="preserve">Correia dos orgãos auxiliares do motor (120.000 km ou 4 anos - o que ocorrer primeiro)</t>
  </si>
  <si>
    <t xml:space="preserve">9809996880</t>
  </si>
  <si>
    <t xml:space="preserve">Tensor da correia dos órgão auxiliares (120.000 km ou 4 anos - o que ocorrer primeiro)</t>
  </si>
  <si>
    <t xml:space="preserve">9826368080</t>
  </si>
  <si>
    <t xml:space="preserve">Liquido de freio DOT4  (2 Anos)</t>
  </si>
  <si>
    <t xml:space="preserve">OLEO MOTOR SAE 0W30 ACEA C1 C2  1L</t>
  </si>
  <si>
    <t xml:space="preserve">7094487</t>
  </si>
  <si>
    <t xml:space="preserve">DUCATO</t>
  </si>
  <si>
    <t xml:space="preserve">71779555</t>
  </si>
  <si>
    <t xml:space="preserve">77369138</t>
  </si>
  <si>
    <t xml:space="preserve">CORREIA ORGÃOS AUXILIARES</t>
  </si>
  <si>
    <t xml:space="preserve">500388408</t>
  </si>
  <si>
    <t xml:space="preserve">CORREIA DE DISTRIBUIÇÃO</t>
  </si>
  <si>
    <t xml:space="preserve">5801467815</t>
  </si>
  <si>
    <t xml:space="preserve">ÓLEO DO MOTOR - 1L</t>
  </si>
  <si>
    <t xml:space="preserve">K68231015LA_F (1)</t>
  </si>
  <si>
    <t xml:space="preserve">(1)</t>
  </si>
  <si>
    <t xml:space="preserve">Mark Up do óleo negociado com a Abracaf</t>
  </si>
  <si>
    <t xml:space="preserve">DUCATO X250 2.2D</t>
  </si>
  <si>
    <t xml:space="preserve">11a</t>
  </si>
  <si>
    <t xml:space="preserve">12a</t>
  </si>
  <si>
    <t xml:space="preserve">13a</t>
  </si>
  <si>
    <t xml:space="preserve">14a</t>
  </si>
  <si>
    <t xml:space="preserve">15a</t>
  </si>
  <si>
    <t xml:space="preserve">Elemento do filtro de aspirção de ar do motor</t>
  </si>
  <si>
    <t xml:space="preserve">52222118</t>
  </si>
  <si>
    <t xml:space="preserve">46357071</t>
  </si>
  <si>
    <r>
      <rPr>
        <sz val="10"/>
        <color rgb="FF000000"/>
        <rFont val="Verdana"/>
        <family val="2"/>
        <charset val="1"/>
      </rPr>
      <t xml:space="preserve">Correia dentada do comando da distribuição do motor </t>
    </r>
    <r>
      <rPr>
        <sz val="8"/>
        <color rgb="FF000000"/>
        <rFont val="Verdana"/>
        <family val="2"/>
        <charset val="1"/>
      </rPr>
      <t xml:space="preserve">(a cada 120.000 km ou 4 anos, o que ocorrer primeiro)</t>
    </r>
  </si>
  <si>
    <r>
      <rPr>
        <sz val="10"/>
        <color rgb="FF000000"/>
        <rFont val="Verdana"/>
        <family val="2"/>
        <charset val="1"/>
      </rPr>
      <t xml:space="preserve">Fluído de freio </t>
    </r>
    <r>
      <rPr>
        <sz val="8"/>
        <color rgb="FF000000"/>
        <rFont val="Verdana"/>
        <family val="2"/>
        <charset val="1"/>
      </rPr>
      <t xml:space="preserve">(a cada 40.000 km ou 2 anos, o que ocorrer primeiro)</t>
    </r>
  </si>
  <si>
    <t xml:space="preserve">155255304</t>
  </si>
  <si>
    <t xml:space="preserve">Óleo do motor</t>
  </si>
  <si>
    <t xml:space="preserve">SCUDO</t>
  </si>
  <si>
    <t xml:space="preserve">Voltar Capa</t>
  </si>
  <si>
    <t xml:space="preserve">ANEL DO BUJÃO</t>
  </si>
  <si>
    <t xml:space="preserve">FILTRO DE ÓLEO DO MOTOR</t>
  </si>
  <si>
    <t xml:space="preserve">155254505</t>
  </si>
  <si>
    <t xml:space="preserve">155253599</t>
  </si>
  <si>
    <t xml:space="preserve">ELEMENTO DE FILTRO DE AR</t>
  </si>
  <si>
    <t xml:space="preserve">9813908880</t>
  </si>
  <si>
    <t xml:space="preserve">FILTRO DE PÓLEN</t>
  </si>
  <si>
    <t xml:space="preserve">6000655015</t>
  </si>
  <si>
    <t xml:space="preserve">155253981</t>
  </si>
  <si>
    <t xml:space="preserve">TENSOR CORREIA DE DISTRIBUIÇÃO</t>
  </si>
  <si>
    <t xml:space="preserve">155253938</t>
  </si>
  <si>
    <t xml:space="preserve">BOMBA D´AGUA</t>
  </si>
  <si>
    <t xml:space="preserve">155254522</t>
  </si>
  <si>
    <t xml:space="preserve">CORREIA DOS ÓRGÃOS AUXILIARES</t>
  </si>
  <si>
    <t xml:space="preserve">9813908180</t>
  </si>
  <si>
    <t xml:space="preserve">TENSOR CORREIA DOS ÓRGÃOS AUXILIARES</t>
  </si>
  <si>
    <t xml:space="preserve">155253564</t>
  </si>
  <si>
    <t xml:space="preserve">Fluído de Freio DOT4 (2 Anos)</t>
  </si>
  <si>
    <t xml:space="preserve">155255303</t>
  </si>
  <si>
    <t xml:space="preserve">Liquido de Arrefecimento Diluido -35° (DFS)</t>
  </si>
  <si>
    <t xml:space="preserve">7094488</t>
  </si>
  <si>
    <t xml:space="preserve">(80.000 ou 3 Anos o que ocorrer primeiro)</t>
  </si>
  <si>
    <t xml:space="preserve">OLEO MOTOR SAE 0W30 ACEA C1/C2 (1L)</t>
  </si>
  <si>
    <t xml:space="preserve">TOTAL DE MÃO DE OBRA</t>
  </si>
  <si>
    <t xml:space="preserve">SCUDO 2.2D</t>
  </si>
  <si>
    <t xml:space="preserve">9878309480</t>
  </si>
  <si>
    <t xml:space="preserve">9853098280</t>
  </si>
  <si>
    <r>
      <rPr>
        <sz val="10"/>
        <color rgb="FF000000"/>
        <rFont val="Verdana"/>
        <family val="2"/>
        <charset val="1"/>
      </rPr>
      <t xml:space="preserve">Correia dos órgão auxiliares
</t>
    </r>
    <r>
      <rPr>
        <sz val="8"/>
        <color rgb="FF000000"/>
        <rFont val="Verdana"/>
        <family val="2"/>
        <charset val="1"/>
      </rPr>
      <t xml:space="preserve">(a cada 60.000 km ou 4 anos, o que ocorrer primeiro)</t>
    </r>
  </si>
  <si>
    <r>
      <rPr>
        <sz val="10"/>
        <color rgb="FF000000"/>
        <rFont val="Verdana"/>
        <family val="2"/>
        <charset val="1"/>
      </rPr>
      <t xml:space="preserve">Correia dentada do comando da distribuição do motor
</t>
    </r>
    <r>
      <rPr>
        <sz val="8"/>
        <color rgb="FF000000"/>
        <rFont val="Verdana"/>
        <family val="2"/>
        <charset val="1"/>
      </rPr>
      <t xml:space="preserve">(a cada 120.000 km ou 4 anos, o que ocorrer primeiro)</t>
    </r>
  </si>
  <si>
    <r>
      <rPr>
        <sz val="10"/>
        <color rgb="FF000000"/>
        <rFont val="Verdana"/>
        <family val="2"/>
        <charset val="1"/>
      </rPr>
      <t xml:space="preserve">Fluído de freio
</t>
    </r>
    <r>
      <rPr>
        <sz val="8"/>
        <color rgb="FF000000"/>
        <rFont val="Verdana"/>
        <family val="2"/>
        <charset val="1"/>
      </rPr>
      <t xml:space="preserve">(a cada 40.000 km ou 2 anos, o que ocorrer primeiro)</t>
    </r>
  </si>
  <si>
    <t xml:space="preserve">Substituição do líquido de arrefecimento do motor (a cada 240.000 km ou 10 anos, o que ocorrer primeiro)</t>
  </si>
  <si>
    <t xml:space="preserve">Mopar Maxpro Syntetic Diesel DPF C2 5W30</t>
  </si>
  <si>
    <t xml:space="preserve">e-SCUDO</t>
  </si>
  <si>
    <t xml:space="preserve">500e</t>
  </si>
  <si>
    <t xml:space="preserve">FILTRO AR CONDICIONADO</t>
  </si>
  <si>
    <t xml:space="preserve">71775823</t>
  </si>
  <si>
    <t xml:space="preserve">Fluido para freio DOT 5.1</t>
  </si>
  <si>
    <t xml:space="preserve">7093293_F</t>
  </si>
  <si>
    <t xml:space="preserve">15.000 km ou 01 ano</t>
  </si>
  <si>
    <t xml:space="preserve">9677491780</t>
  </si>
  <si>
    <t xml:space="preserve">FILTRO DE COMBUSTÍVEL</t>
  </si>
  <si>
    <t xml:space="preserve">155255800</t>
  </si>
  <si>
    <t xml:space="preserve">FILTRO DE AR</t>
  </si>
  <si>
    <t xml:space="preserve">155255862</t>
  </si>
  <si>
    <r>
      <rPr>
        <sz val="10"/>
        <color rgb="FF000000"/>
        <rFont val="Verdana"/>
        <family val="2"/>
        <charset val="1"/>
      </rPr>
      <t xml:space="preserve">Correia da distribuição </t>
    </r>
    <r>
      <rPr>
        <sz val="8"/>
        <color rgb="FF000000"/>
        <rFont val="Verdana"/>
        <family val="2"/>
        <charset val="1"/>
      </rPr>
      <t xml:space="preserve">(ou 4 anos, prevalecendo o que ocorrer primeiro)</t>
    </r>
  </si>
  <si>
    <t xml:space="preserve">Kit correia dos orgãos auxiliares do motor
(correia dos órgão auxiliares + tensionadores)</t>
  </si>
  <si>
    <t xml:space="preserve">155255880</t>
  </si>
  <si>
    <r>
      <rPr>
        <sz val="10"/>
        <color rgb="FF000000"/>
        <rFont val="Verdana"/>
        <family val="2"/>
        <charset val="1"/>
      </rPr>
      <t xml:space="preserve">Óleo do cj. diferencial traseiro - 80W 90GL-5 - </t>
    </r>
    <r>
      <rPr>
        <sz val="8"/>
        <color rgb="FF000000"/>
        <rFont val="Verdana"/>
        <family val="2"/>
        <charset val="1"/>
      </rPr>
      <t xml:space="preserve">(embalagem de 1 litro)</t>
    </r>
  </si>
  <si>
    <t xml:space="preserve">K68218041LA_F</t>
  </si>
  <si>
    <r>
      <rPr>
        <sz val="10"/>
        <color rgb="FF000000"/>
        <rFont val="Verdana"/>
        <family val="2"/>
        <charset val="1"/>
      </rPr>
      <t xml:space="preserve">Óleo da caixa de transferência - 80W 90GL-5 - </t>
    </r>
    <r>
      <rPr>
        <sz val="8"/>
        <color rgb="FF000000"/>
        <rFont val="Verdana"/>
        <family val="2"/>
        <charset val="1"/>
      </rPr>
      <t xml:space="preserve">(embalagem de 1 litro)</t>
    </r>
  </si>
  <si>
    <r>
      <rPr>
        <sz val="10"/>
        <color rgb="FF000000"/>
        <rFont val="Verdana"/>
        <family val="2"/>
        <charset val="1"/>
      </rPr>
      <t xml:space="preserve">Fluído de Freio Safebrake 16M (DOT 4+)  </t>
    </r>
    <r>
      <rPr>
        <sz val="8"/>
        <color rgb="FF000000"/>
        <rFont val="Verdana"/>
        <family val="2"/>
        <charset val="1"/>
      </rPr>
      <t xml:space="preserve">(a cada 2 Anos)</t>
    </r>
  </si>
  <si>
    <t xml:space="preserve">OLEO MOTOR INEO HTC 5W30 (1L)</t>
  </si>
  <si>
    <r>
      <rPr>
        <sz val="10"/>
        <color rgb="FF000000"/>
        <rFont val="Verdana"/>
        <family val="2"/>
        <charset val="1"/>
      </rPr>
      <t xml:space="preserve">Kit correia dos orgãos auxiliares do motor
</t>
    </r>
    <r>
      <rPr>
        <sz val="8"/>
        <color rgb="FF000000"/>
        <rFont val="Verdana"/>
        <family val="2"/>
        <charset val="1"/>
      </rPr>
      <t xml:space="preserve">(correia dos órgão auxiliares + tensionadores)</t>
    </r>
  </si>
  <si>
    <r>
      <rPr>
        <sz val="10"/>
        <color rgb="FF000000"/>
        <rFont val="Verdana"/>
        <family val="2"/>
        <charset val="1"/>
      </rPr>
      <t xml:space="preserve">Óleo da caixa de câmbio automática - ATF Dexrom VI - </t>
    </r>
    <r>
      <rPr>
        <sz val="8"/>
        <color rgb="FF000000"/>
        <rFont val="Verdana"/>
        <family val="2"/>
        <charset val="1"/>
      </rPr>
      <t xml:space="preserve">(embalagem de 1 litro)</t>
    </r>
  </si>
  <si>
    <t xml:space="preserve">7096432</t>
  </si>
  <si>
    <t xml:space="preserve">TITANO 2.2D MT</t>
  </si>
  <si>
    <t xml:space="preserve">1699580280</t>
  </si>
  <si>
    <t xml:space="preserve">46357445</t>
  </si>
  <si>
    <r>
      <rPr>
        <sz val="10"/>
        <color rgb="FF000000"/>
        <rFont val="Verdana"/>
        <family val="2"/>
        <charset val="1"/>
      </rPr>
      <t xml:space="preserve">Substituição da correia dentada do comando da distribuição do motor </t>
    </r>
    <r>
      <rPr>
        <sz val="8"/>
        <color rgb="FF000000"/>
        <rFont val="Verdana"/>
        <family val="2"/>
        <charset val="1"/>
      </rPr>
      <t xml:space="preserve">(a cada 120.000 km ou 4 anos, o que ocorrer primeiro)</t>
    </r>
  </si>
  <si>
    <r>
      <rPr>
        <sz val="10"/>
        <color rgb="FF000000"/>
        <rFont val="Verdana"/>
        <family val="2"/>
        <charset val="1"/>
      </rPr>
      <t xml:space="preserve">Óleo do conjunto diferencial traseiro - Óleo lubrificante API GL5 SAE 80W90
</t>
    </r>
    <r>
      <rPr>
        <sz val="8"/>
        <color rgb="FF000000"/>
        <rFont val="Verdana"/>
        <family val="2"/>
        <charset val="1"/>
      </rPr>
      <t xml:space="preserve">(é mandatório a susbstituição do óleo do diferencial traseiro na primeira revisão e a cada 40.000 km ou 3 anos, prevalecendo o que ocorrer primeiro, após a primeira revisão)</t>
    </r>
  </si>
  <si>
    <t xml:space="preserve">7096425</t>
  </si>
  <si>
    <t xml:space="preserve">Óleo da caixa de câmbio mecânica (a cada 60.000 km, independente do tempo)</t>
  </si>
  <si>
    <t xml:space="preserve">7099873</t>
  </si>
  <si>
    <r>
      <rPr>
        <sz val="10"/>
        <color rgb="FF000000"/>
        <rFont val="Verdana"/>
        <family val="2"/>
        <charset val="1"/>
      </rPr>
      <t xml:space="preserve">Óleo da caixa de tranferência - Óleo lubrificante Dexron III
</t>
    </r>
    <r>
      <rPr>
        <sz val="8"/>
        <color rgb="FF000000"/>
        <rFont val="Verdana"/>
        <family val="2"/>
        <charset val="1"/>
      </rPr>
      <t xml:space="preserve">(a cada 50.000 km ou 2 anos, o que ocorrer primeiro)</t>
    </r>
  </si>
  <si>
    <t xml:space="preserve">7096430</t>
  </si>
  <si>
    <r>
      <rPr>
        <sz val="10"/>
        <color rgb="FF000000"/>
        <rFont val="Verdana"/>
        <family val="2"/>
        <charset val="1"/>
      </rPr>
      <t xml:space="preserve">Fluído de freio Safebrake 16M (DOT 4+)</t>
    </r>
    <r>
      <rPr>
        <sz val="8"/>
        <color rgb="FF000000"/>
        <rFont val="Verdana"/>
        <family val="2"/>
        <charset val="1"/>
      </rPr>
      <t xml:space="preserve">  (a cada 40.000 km ou 2 anos, o que ocorrer primeiro)</t>
    </r>
  </si>
  <si>
    <t xml:space="preserve">TITANO 2.2D AT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</si>
</sst>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General"/>
    <numFmt numFmtId="167" formatCode="&quot;R$ &quot;#,##0.00"/>
    <numFmt numFmtId="168" formatCode="@"/>
    <numFmt numFmtId="169" formatCode="_-&quot;R$ &quot;* #,##0.00_-;&quot;-R$ &quot;* #,##0.00_-;_-&quot;R$ &quot;* \-??_-;_-@"/>
    <numFmt numFmtId="170" formatCode="0%"/>
    <numFmt numFmtId="171" formatCode="0.00"/>
    <numFmt numFmtId="172" formatCode="#,##0.0"/>
    <numFmt numFmtId="173" formatCode="#,##0.00"/>
    <numFmt numFmtId="174" formatCode="0.0%"/>
    <numFmt numFmtId="175" formatCode="0.0"/>
    <numFmt numFmtId="176" formatCode="0"/>
    <numFmt numFmtId="177" formatCode="_-&quot;R$ &quot;* #,##0.00_-;&quot;-R$ &quot;* #,##0.00_-;_-&quot;R$ &quot;* \-??_-;_-@_-"/>
    <numFmt numFmtId="178" formatCode="_-* #,##0.00_-;\-* #,##0.00_-;_-* \-??_-;_-@"/>
    <numFmt numFmtId="179" formatCode="_(* #,##0.00_);_(* \(#,##0.00\);_(* \-??_);_(@_)"/>
    <numFmt numFmtId="180" formatCode="_-* #,##0.00_-;\-* #,##0.00_-;_-* \-??_-;_-@_-"/>
  </numFmts>
  <fonts count="2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2"/>
      <color rgb="FFFFFFFF"/>
      <name val="Verdana"/>
      <family val="2"/>
      <charset val="1"/>
    </font>
    <font>
      <b val="true"/>
      <sz val="10"/>
      <color rgb="FFFFFFFF"/>
      <name val="Verdana"/>
      <family val="2"/>
      <charset val="1"/>
    </font>
    <font>
      <b val="true"/>
      <sz val="10"/>
      <color rgb="FF000000"/>
      <name val="Verdana"/>
      <family val="2"/>
      <charset val="1"/>
    </font>
    <font>
      <sz val="10"/>
      <color rgb="FFFFFFFF"/>
      <name val="Verdana"/>
      <family val="2"/>
      <charset val="1"/>
    </font>
    <font>
      <sz val="10"/>
      <color rgb="FF000000"/>
      <name val="Verdana"/>
      <family val="2"/>
      <charset val="1"/>
    </font>
    <font>
      <sz val="8"/>
      <color rgb="FF000000"/>
      <name val="Verdana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u val="single"/>
      <sz val="11"/>
      <color rgb="FF0000FF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1F497D"/>
        <bgColor rgb="FF333333"/>
      </patternFill>
    </fill>
    <fill>
      <patternFill patternType="solid">
        <fgColor rgb="FFDCE6F2"/>
        <bgColor rgb="FFDBE5F1"/>
      </patternFill>
    </fill>
    <fill>
      <patternFill patternType="solid">
        <fgColor rgb="FFB9CDE5"/>
        <bgColor rgb="FFB8CCE4"/>
      </patternFill>
    </fill>
    <fill>
      <patternFill patternType="solid">
        <fgColor rgb="FFB8CCE4"/>
        <bgColor rgb="FFB9CDE5"/>
      </patternFill>
    </fill>
    <fill>
      <patternFill patternType="solid">
        <fgColor rgb="FFDBE5F1"/>
        <bgColor rgb="FFDCE6F2"/>
      </patternFill>
    </fill>
    <fill>
      <patternFill patternType="solid">
        <fgColor rgb="FF4F81BD"/>
        <bgColor rgb="FF808080"/>
      </patternFill>
    </fill>
    <fill>
      <patternFill patternType="solid">
        <fgColor rgb="FFF2F2F2"/>
        <bgColor rgb="FFFFFFFF"/>
      </patternFill>
    </fill>
    <fill>
      <patternFill patternType="solid">
        <fgColor rgb="FFD8D8D8"/>
        <bgColor rgb="FFD9D9D9"/>
      </patternFill>
    </fill>
    <fill>
      <patternFill patternType="solid">
        <fgColor rgb="FFD9D9D9"/>
        <bgColor rgb="FFD8D8D8"/>
      </patternFill>
    </fill>
    <fill>
      <patternFill patternType="solid">
        <fgColor rgb="FFCCCCCC"/>
        <bgColor rgb="FFD8D8D8"/>
      </patternFill>
    </fill>
    <fill>
      <patternFill patternType="solid">
        <fgColor rgb="FF002060"/>
        <bgColor rgb="FF000080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>
        <color rgb="FFFFFFFF"/>
      </right>
      <top style="medium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medium"/>
      <bottom style="thin">
        <color rgb="FFFFFFFF"/>
      </bottom>
      <diagonal/>
    </border>
    <border diagonalUp="false" diagonalDown="false">
      <left style="thin">
        <color rgb="FFFFFFFF"/>
      </left>
      <right style="medium"/>
      <top style="medium"/>
      <bottom style="thin">
        <color rgb="FFFFFFFF"/>
      </bottom>
      <diagonal/>
    </border>
    <border diagonalUp="false" diagonalDown="false">
      <left style="medium"/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 style="medium"/>
      <top/>
      <bottom style="thin">
        <color rgb="FFFFFFFF"/>
      </bottom>
      <diagonal/>
    </border>
    <border diagonalUp="false" diagonalDown="false">
      <left style="medium"/>
      <right style="thin">
        <color rgb="FFFFFFFF"/>
      </right>
      <top/>
      <bottom style="thin">
        <color rgb="FFFFFFFF"/>
      </bottom>
      <diagonal/>
    </border>
    <border diagonalUp="false" diagonalDown="false">
      <left style="medium"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medium"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 style="medium"/>
      <top style="thin">
        <color rgb="FFFFFFFF"/>
      </top>
      <bottom/>
      <diagonal/>
    </border>
    <border diagonalUp="false" diagonalDown="false">
      <left style="medium"/>
      <right style="thin">
        <color rgb="FFFFFFFF"/>
      </right>
      <top/>
      <bottom style="medium"/>
      <diagonal/>
    </border>
    <border diagonalUp="false" diagonalDown="false">
      <left style="thin">
        <color rgb="FFFFFFFF"/>
      </left>
      <right style="thin">
        <color rgb="FFFFFFFF"/>
      </right>
      <top/>
      <bottom style="medium"/>
      <diagonal/>
    </border>
    <border diagonalUp="false" diagonalDown="false">
      <left style="thin">
        <color rgb="FFFFFFFF"/>
      </left>
      <right style="medium"/>
      <top/>
      <bottom style="medium"/>
      <diagonal/>
    </border>
    <border diagonalUp="false" diagonalDown="false">
      <left style="thin">
        <color rgb="FFFFFFFF"/>
      </left>
      <right style="double">
        <color rgb="FFFFFFFF"/>
      </right>
      <top style="thin">
        <color rgb="FFFFFFFF"/>
      </top>
      <bottom/>
      <diagonal/>
    </border>
    <border diagonalUp="false" diagonalDown="false">
      <left style="double">
        <color rgb="FFFFFFFF"/>
      </left>
      <right/>
      <top style="thin">
        <color rgb="FFFFFFFF"/>
      </top>
      <bottom/>
      <diagonal/>
    </border>
    <border diagonalUp="false" diagonalDown="false">
      <left style="double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/>
      <bottom style="thin">
        <color rgb="FFFFFFFF"/>
      </bottom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double">
        <color rgb="FFFFFFFF"/>
      </right>
      <top/>
      <bottom style="thin">
        <color rgb="FFFFFFFF"/>
      </bottom>
      <diagonal/>
    </border>
    <border diagonalUp="false" diagonalDown="false">
      <left style="double">
        <color rgb="FFFFFFFF"/>
      </left>
      <right/>
      <top/>
      <bottom style="thin">
        <color rgb="FFFFFFFF"/>
      </bottom>
      <diagonal/>
    </border>
    <border diagonalUp="false" diagonalDown="false">
      <left style="double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/>
      <right/>
      <top style="thin">
        <color rgb="FFFFFFFF"/>
      </top>
      <bottom style="thin">
        <color rgb="FFFFFFFF"/>
      </bottom>
      <diagonal/>
    </border>
    <border diagonalUp="false" diagonalDown="false">
      <left style="double">
        <color rgb="FFFFFFFF"/>
      </left>
      <right style="double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 style="double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double">
        <color rgb="FFFFFFFF"/>
      </left>
      <right style="double">
        <color rgb="FFFFFFFF"/>
      </right>
      <top style="thin">
        <color rgb="FFFFFFFF"/>
      </top>
      <bottom/>
      <diagonal/>
    </border>
    <border diagonalUp="false" diagonalDown="false">
      <left style="double">
        <color rgb="FFFFFFFF"/>
      </left>
      <right style="double">
        <color rgb="FFFFFFFF"/>
      </right>
      <top/>
      <bottom style="thin">
        <color rgb="FFFFFFFF"/>
      </bottom>
      <diagonal/>
    </border>
    <border diagonalUp="false" diagonalDown="false">
      <left style="double">
        <color rgb="FFFFFFFF"/>
      </left>
      <right/>
      <top/>
      <bottom/>
      <diagonal/>
    </border>
    <border diagonalUp="false" diagonalDown="false"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 diagonalUp="false" diagonalDown="false">
      <left style="medium">
        <color rgb="FFFFFFFF"/>
      </left>
      <right/>
      <top style="thin">
        <color rgb="FFFFFFFF"/>
      </top>
      <bottom style="thin">
        <color rgb="FFFFFFF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4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7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7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2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7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4" fontId="13" fillId="3" borderId="18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5" fontId="13" fillId="3" borderId="19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4" fontId="13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7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8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7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7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7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6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6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7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6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6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7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7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7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72" fontId="16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6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7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6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7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33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4" fontId="13" fillId="3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4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4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5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7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6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6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1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1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11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1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11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1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13" borderId="17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4" fontId="13" fillId="13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3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3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4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6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4" fontId="13" fillId="3" borderId="22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4" fontId="15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4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4" fontId="13" fillId="3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5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6" fillId="5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6" fillId="7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16" fillId="6" borderId="2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16" fillId="7" borderId="2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6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6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6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35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5" fontId="13" fillId="3" borderId="24" xfId="0" applyFont="true" applyBorder="true" applyAlignment="true" applyProtection="false">
      <alignment horizontal="center" vertical="distributed" textRotation="0" wrapText="true" indent="0" shrinkToFit="false"/>
      <protection locked="true" hidden="false"/>
    </xf>
    <xf numFmtId="169" fontId="14" fillId="7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6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5F1"/>
      <rgbColor rgb="FFD9D9D9"/>
      <rgbColor rgb="FFFFFF99"/>
      <rgbColor rgb="FFB8CCE4"/>
      <rgbColor rgb="FFFF99CC"/>
      <rgbColor rgb="FFCC99FF"/>
      <rgbColor rgb="FFD8D8D8"/>
      <rgbColor rgb="FF3366FF"/>
      <rgbColor rgb="FF33CCCC"/>
      <rgbColor rgb="FF6CFC24"/>
      <rgbColor rgb="FFFFCC00"/>
      <rgbColor rgb="FFFF99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externalLink" Target="externalLinks/externalLink1.xml"/><Relationship Id="rId37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sites/RevisoProgramadaStellantis2/Shared%20Documents/General/Base/BaseDeRevis&#245;es_xF_Brasil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EÇO ATUAL"/>
      <sheetName val="LUBRIFICANTE FIAT"/>
      <sheetName val="LUBRIFICANTE CJDR"/>
      <sheetName val="LUBRIFICANTE LEAPMOTOR"/>
    </sheetNames>
    <sheetDataSet>
      <sheetData sheetId="0">
        <row r="1">
          <cell r="A1" t="str">
            <v>DESENHO</v>
          </cell>
          <cell r="B1" t="str">
            <v>DENOMINAÇÃO</v>
          </cell>
          <cell r="C1" t="str">
            <v>NF Base SP</v>
          </cell>
          <cell r="D1" t="str">
            <v>PREÇO VENDA</v>
          </cell>
        </row>
        <row r="2">
          <cell r="A2" t="str">
            <v>9809532380</v>
          </cell>
          <cell r="B2" t="str">
            <v>FILTRO DE OLEO</v>
          </cell>
        </row>
        <row r="2">
          <cell r="D2">
            <v>115.4</v>
          </cell>
        </row>
        <row r="3">
          <cell r="A3" t="str">
            <v>77368658</v>
          </cell>
          <cell r="B3" t="str">
            <v>ELEMENTO FILTRANTE</v>
          </cell>
        </row>
        <row r="3">
          <cell r="D3">
            <v>509.11476</v>
          </cell>
        </row>
        <row r="4">
          <cell r="A4" t="str">
            <v>9826368080</v>
          </cell>
          <cell r="B4" t="str">
            <v>TENSOR DE CORREIA</v>
          </cell>
        </row>
        <row r="4">
          <cell r="D4">
            <v>749.534016</v>
          </cell>
        </row>
        <row r="5">
          <cell r="A5" t="str">
            <v>9677491780</v>
          </cell>
          <cell r="B5" t="str">
            <v>ANEL DO BUJÃO</v>
          </cell>
        </row>
        <row r="5">
          <cell r="D5">
            <v>12.867624</v>
          </cell>
        </row>
        <row r="6">
          <cell r="A6" t="str">
            <v>9400164889</v>
          </cell>
          <cell r="B6" t="str">
            <v>ANEL DO BUJÃO</v>
          </cell>
        </row>
        <row r="6">
          <cell r="D6">
            <v>13.243692</v>
          </cell>
        </row>
        <row r="7">
          <cell r="A7" t="str">
            <v>155254505</v>
          </cell>
          <cell r="B7" t="str">
            <v>FILTRO DE ÓLEO DO MOTOR</v>
          </cell>
        </row>
        <row r="7">
          <cell r="D7">
            <v>101.44</v>
          </cell>
        </row>
        <row r="8">
          <cell r="A8" t="str">
            <v>155253599</v>
          </cell>
          <cell r="B8" t="str">
            <v>FILTRO COMBUSTIVEL</v>
          </cell>
        </row>
        <row r="8">
          <cell r="D8">
            <v>374.14</v>
          </cell>
        </row>
        <row r="9">
          <cell r="A9" t="str">
            <v>9813908880</v>
          </cell>
          <cell r="B9" t="str">
            <v>ELEMENTO DE FILTRO DE AR</v>
          </cell>
        </row>
        <row r="9">
          <cell r="D9">
            <v>133.51</v>
          </cell>
        </row>
        <row r="10">
          <cell r="A10" t="str">
            <v>6000655015</v>
          </cell>
          <cell r="B10" t="str">
            <v>FILTRO DE PÓLEN</v>
          </cell>
        </row>
        <row r="10">
          <cell r="D10">
            <v>158.84</v>
          </cell>
        </row>
        <row r="11">
          <cell r="A11" t="str">
            <v>155253981</v>
          </cell>
          <cell r="B11" t="str">
            <v>CORREIA DE DISTRIBUIÇÃO</v>
          </cell>
        </row>
        <row r="11">
          <cell r="D11">
            <v>376.45</v>
          </cell>
        </row>
        <row r="12">
          <cell r="A12" t="str">
            <v>55267995</v>
          </cell>
          <cell r="B12" t="str">
            <v>VELA IGNICAO</v>
          </cell>
        </row>
        <row r="12">
          <cell r="D12">
            <v>175.9</v>
          </cell>
        </row>
        <row r="13">
          <cell r="A13" t="str">
            <v>52162685</v>
          </cell>
          <cell r="B13" t="str">
            <v>FILTRO COMBUSTIVEL CMBGA</v>
          </cell>
        </row>
        <row r="13">
          <cell r="D13">
            <v>35.9</v>
          </cell>
        </row>
        <row r="14">
          <cell r="A14" t="str">
            <v>7087265</v>
          </cell>
          <cell r="B14" t="str">
            <v>CJ REPARO REDUTOR DE PRESSAO</v>
          </cell>
        </row>
        <row r="14">
          <cell r="D14">
            <v>0</v>
          </cell>
        </row>
        <row r="15">
          <cell r="A15" t="str">
            <v>46348847</v>
          </cell>
          <cell r="B15" t="str">
            <v>VELA IGNICAO</v>
          </cell>
        </row>
        <row r="15">
          <cell r="D15">
            <v>114.24</v>
          </cell>
        </row>
        <row r="16">
          <cell r="A16" t="str">
            <v>55258359</v>
          </cell>
          <cell r="B16" t="str">
            <v>CORREIA POLY-V 6K L=1452MM X21,16</v>
          </cell>
        </row>
        <row r="16">
          <cell r="D16">
            <v>169.01</v>
          </cell>
        </row>
        <row r="17">
          <cell r="A17" t="str">
            <v>77367623</v>
          </cell>
          <cell r="B17" t="str">
            <v>ELEMENTO FILTRANTE</v>
          </cell>
        </row>
        <row r="17">
          <cell r="D17">
            <v>379</v>
          </cell>
        </row>
        <row r="18">
          <cell r="A18" t="str">
            <v>77369138</v>
          </cell>
          <cell r="B18" t="str">
            <v>GASOLIO</v>
          </cell>
        </row>
        <row r="18">
          <cell r="D18">
            <v>489</v>
          </cell>
        </row>
        <row r="19">
          <cell r="A19" t="str">
            <v>55251324</v>
          </cell>
          <cell r="B19" t="str">
            <v>CORREIA AUXILIAR DO MOTOR 6 DENTES</v>
          </cell>
        </row>
        <row r="19">
          <cell r="D19">
            <v>293.7396</v>
          </cell>
        </row>
        <row r="20">
          <cell r="A20" t="str">
            <v>46354609</v>
          </cell>
          <cell r="B20" t="str">
            <v>CORREIA AUXILIAR DO MOTOR 6 DENTES</v>
          </cell>
        </row>
        <row r="20">
          <cell r="D20">
            <v>296.29</v>
          </cell>
        </row>
        <row r="21">
          <cell r="A21" t="str">
            <v>55267966</v>
          </cell>
          <cell r="B21" t="str">
            <v>CORREIA TRANSMISSAO  POLY-V 5K L1171-DAY</v>
          </cell>
        </row>
        <row r="21">
          <cell r="D21">
            <v>143.23</v>
          </cell>
        </row>
        <row r="22">
          <cell r="A22" t="str">
            <v>71779555</v>
          </cell>
          <cell r="B22" t="str">
            <v>FILTRO OLEO C/MARCA MOPAR (0,6L)</v>
          </cell>
        </row>
        <row r="22">
          <cell r="D22">
            <v>182.87</v>
          </cell>
        </row>
        <row r="23">
          <cell r="A23" t="str">
            <v>2995811</v>
          </cell>
          <cell r="B23" t="str">
            <v>FILTRO OLEO C MARCA FPT  0 6L    CURTO</v>
          </cell>
        </row>
        <row r="23">
          <cell r="D23">
            <v>195.04716</v>
          </cell>
        </row>
        <row r="24">
          <cell r="A24" t="str">
            <v>46796687</v>
          </cell>
          <cell r="B24" t="str">
            <v>FILTRO OLEO MOTOR</v>
          </cell>
        </row>
        <row r="24">
          <cell r="D24">
            <v>79.9</v>
          </cell>
        </row>
        <row r="25">
          <cell r="A25" t="str">
            <v>6000631700</v>
          </cell>
          <cell r="B25" t="str">
            <v>FILTRO DE OLEO DO MOTOR</v>
          </cell>
        </row>
        <row r="25">
          <cell r="D25">
            <v>79.9</v>
          </cell>
        </row>
        <row r="26">
          <cell r="A26" t="str">
            <v>7094709</v>
          </cell>
          <cell r="B26" t="str">
            <v>FILTRO OLEO MOTOR WEGA</v>
          </cell>
        </row>
        <row r="26">
          <cell r="D26">
            <v>79.9</v>
          </cell>
        </row>
        <row r="27">
          <cell r="A27" t="str">
            <v>71754237</v>
          </cell>
          <cell r="B27" t="str">
            <v>FILTRO OLEO MOTOR</v>
          </cell>
        </row>
        <row r="27">
          <cell r="D27">
            <v>86.54</v>
          </cell>
        </row>
        <row r="28">
          <cell r="A28" t="str">
            <v>5802102136</v>
          </cell>
          <cell r="B28" t="str">
            <v>CORREIA COMPRESSOR/ARV RIBS=4 L=880MM</v>
          </cell>
        </row>
        <row r="28">
          <cell r="D28">
            <v>185.493</v>
          </cell>
        </row>
        <row r="29">
          <cell r="A29" t="str">
            <v>51773404</v>
          </cell>
          <cell r="B29" t="str">
            <v>ELEMENTO FILTRO AR</v>
          </cell>
        </row>
        <row r="29">
          <cell r="D29">
            <v>122.039148</v>
          </cell>
        </row>
        <row r="30">
          <cell r="A30" t="str">
            <v>5801467815</v>
          </cell>
          <cell r="B30" t="str">
            <v>CORREIA DISTRIBUICAO L=1695.45MM</v>
          </cell>
        </row>
        <row r="30">
          <cell r="D30">
            <v>663.26</v>
          </cell>
        </row>
        <row r="31">
          <cell r="A31" t="str">
            <v>71738161</v>
          </cell>
          <cell r="B31" t="str">
            <v>CORREIA BOMBA DH 3KX700 -(DUPLO FORN)</v>
          </cell>
        </row>
        <row r="31">
          <cell r="D31">
            <v>90.703536</v>
          </cell>
        </row>
        <row r="32">
          <cell r="A32" t="str">
            <v>55208286</v>
          </cell>
          <cell r="B32" t="str">
            <v>ELEMENTO FILTRO AR</v>
          </cell>
        </row>
        <row r="32">
          <cell r="D32">
            <v>37.921884</v>
          </cell>
        </row>
        <row r="33">
          <cell r="A33" t="str">
            <v>55211240</v>
          </cell>
          <cell r="B33" t="str">
            <v>CORREIA ARV MANIV/ DH-L=10,68X895MM</v>
          </cell>
        </row>
        <row r="33">
          <cell r="D33">
            <v>149.54</v>
          </cell>
        </row>
        <row r="34">
          <cell r="A34" t="str">
            <v>55232450</v>
          </cell>
          <cell r="B34" t="str">
            <v>CORREAI TRANSMISSAO SERIE K 1150X5-DAYCO</v>
          </cell>
        </row>
        <row r="34">
          <cell r="D34">
            <v>151.992456</v>
          </cell>
        </row>
        <row r="35">
          <cell r="A35" t="str">
            <v>155258265</v>
          </cell>
          <cell r="B35" t="str">
            <v>VELA IGNICAO RESISTIVA</v>
          </cell>
        </row>
        <row r="35">
          <cell r="D35">
            <v>65.9</v>
          </cell>
        </row>
        <row r="36">
          <cell r="A36" t="str">
            <v>KSP148183AD</v>
          </cell>
          <cell r="B36" t="str">
            <v>VELA DE IGNICAO</v>
          </cell>
        </row>
        <row r="36">
          <cell r="D36">
            <v>163</v>
          </cell>
        </row>
        <row r="37">
          <cell r="A37" t="str">
            <v>52062431</v>
          </cell>
          <cell r="B37" t="str">
            <v>ELEMENTO FILTRANTE</v>
          </cell>
        </row>
        <row r="37">
          <cell r="D37">
            <v>84.9</v>
          </cell>
        </row>
        <row r="38">
          <cell r="A38" t="str">
            <v>7087808</v>
          </cell>
          <cell r="B38" t="str">
            <v>FILTRO OLEO + ORING.                   .</v>
          </cell>
        </row>
        <row r="38">
          <cell r="D38">
            <v>41.43</v>
          </cell>
        </row>
        <row r="39">
          <cell r="A39" t="str">
            <v>55271951</v>
          </cell>
          <cell r="B39" t="str">
            <v>CORREIA POLY V ALTERNADOR/ARV L=1184MM</v>
          </cell>
        </row>
        <row r="39">
          <cell r="D39">
            <v>172.68636</v>
          </cell>
        </row>
        <row r="40">
          <cell r="A40" t="str">
            <v>51857956</v>
          </cell>
          <cell r="B40" t="str">
            <v>ELEMENTO FILTRO AR</v>
          </cell>
        </row>
        <row r="40">
          <cell r="D40">
            <v>90.75</v>
          </cell>
        </row>
        <row r="41">
          <cell r="A41" t="str">
            <v>52046268</v>
          </cell>
          <cell r="B41" t="str">
            <v>ELEMENTO FILTRANTE</v>
          </cell>
        </row>
        <row r="41">
          <cell r="D41">
            <v>89.9</v>
          </cell>
        </row>
        <row r="42">
          <cell r="A42" t="str">
            <v>77365902</v>
          </cell>
          <cell r="B42" t="str">
            <v>ELEMENTO FILTRANTE FILTRO DO COMBUSTIVEL</v>
          </cell>
        </row>
        <row r="42">
          <cell r="D42">
            <v>234.01</v>
          </cell>
        </row>
        <row r="43">
          <cell r="A43" t="str">
            <v>7082141</v>
          </cell>
          <cell r="B43" t="str">
            <v>ELEMENTO FILTRO AR</v>
          </cell>
        </row>
        <row r="43">
          <cell r="D43">
            <v>45.9</v>
          </cell>
        </row>
        <row r="44">
          <cell r="A44" t="str">
            <v>51854598</v>
          </cell>
          <cell r="B44" t="str">
            <v>ELEMENTO FILTRANTE DO AR</v>
          </cell>
        </row>
        <row r="44">
          <cell r="D44">
            <v>83.06</v>
          </cell>
        </row>
        <row r="45">
          <cell r="A45" t="str">
            <v>46420988</v>
          </cell>
          <cell r="B45" t="str">
            <v>ELEMENTO FILTRO AR</v>
          </cell>
        </row>
        <row r="45">
          <cell r="D45">
            <v>79.055592</v>
          </cell>
        </row>
        <row r="46">
          <cell r="A46" t="str">
            <v>50048146</v>
          </cell>
          <cell r="B46" t="str">
            <v>CORREIA</v>
          </cell>
        </row>
        <row r="46">
          <cell r="D46">
            <v>302.22</v>
          </cell>
        </row>
        <row r="47">
          <cell r="A47" t="str">
            <v>55226520</v>
          </cell>
          <cell r="B47" t="str">
            <v>VELA IGNICAO ZKR8B-10 (7101060)</v>
          </cell>
        </row>
        <row r="47">
          <cell r="D47">
            <v>41.9</v>
          </cell>
        </row>
        <row r="48">
          <cell r="A48" t="str">
            <v>55258482</v>
          </cell>
          <cell r="B48" t="str">
            <v>CORREIA DENTADA-DAYCO C/GRAXA BALDOTOX</v>
          </cell>
        </row>
        <row r="48">
          <cell r="D48">
            <v>110.87</v>
          </cell>
        </row>
        <row r="49">
          <cell r="A49" t="str">
            <v>46751179</v>
          </cell>
          <cell r="B49" t="str">
            <v>FILTRO OLEO - SOGEFI</v>
          </cell>
        </row>
        <row r="49">
          <cell r="D49">
            <v>71.2</v>
          </cell>
        </row>
        <row r="50">
          <cell r="A50" t="str">
            <v>50055447</v>
          </cell>
          <cell r="B50" t="str">
            <v>FILTRO OLEO MOTOR</v>
          </cell>
        </row>
        <row r="50">
          <cell r="D50">
            <v>102.7</v>
          </cell>
        </row>
        <row r="51">
          <cell r="A51" t="str">
            <v>K04892339AB</v>
          </cell>
          <cell r="B51" t="str">
            <v>FILTRO DE OLEO DO MOTOR</v>
          </cell>
        </row>
        <row r="51">
          <cell r="D51">
            <v>0</v>
          </cell>
        </row>
        <row r="52">
          <cell r="A52" t="str">
            <v>50057786</v>
          </cell>
          <cell r="B52" t="str">
            <v>FILTRO OLEO MOTOR</v>
          </cell>
        </row>
        <row r="52">
          <cell r="D52">
            <v>102.7</v>
          </cell>
        </row>
        <row r="53">
          <cell r="A53" t="str">
            <v>55244798</v>
          </cell>
          <cell r="B53" t="str">
            <v>CORREIA COMPRESSOR/ARV L1387MM K6 DAYCO</v>
          </cell>
        </row>
        <row r="53">
          <cell r="D53">
            <v>213.66</v>
          </cell>
        </row>
        <row r="54">
          <cell r="A54" t="str">
            <v>55267121</v>
          </cell>
          <cell r="B54" t="str">
            <v>VELA IGNICAO NGK KR8B-10D</v>
          </cell>
        </row>
        <row r="54">
          <cell r="D54">
            <v>49.9</v>
          </cell>
        </row>
        <row r="55">
          <cell r="A55" t="str">
            <v>46480362</v>
          </cell>
          <cell r="B55" t="str">
            <v>VELA IGNICAO BKR6E (13509)</v>
          </cell>
        </row>
        <row r="55">
          <cell r="D55">
            <v>24.15</v>
          </cell>
        </row>
        <row r="56">
          <cell r="A56" t="str">
            <v>51977574</v>
          </cell>
          <cell r="B56" t="str">
            <v>ELEMENTO FILTRANTE</v>
          </cell>
        </row>
        <row r="56">
          <cell r="D56">
            <v>101.54</v>
          </cell>
        </row>
        <row r="57">
          <cell r="A57" t="str">
            <v>46744566</v>
          </cell>
          <cell r="B57" t="str">
            <v>CORREIA ARVORE MANIVELAS/BOMBA DH-HUTCHI</v>
          </cell>
        </row>
        <row r="57">
          <cell r="D57">
            <v>25.55</v>
          </cell>
        </row>
        <row r="58">
          <cell r="A58" t="str">
            <v>55236185</v>
          </cell>
          <cell r="B58" t="str">
            <v>CORREIA POLY V 5K L1175 -DAYCO</v>
          </cell>
        </row>
        <row r="58">
          <cell r="D58">
            <v>139.9</v>
          </cell>
        </row>
        <row r="59">
          <cell r="A59" t="str">
            <v>500388408</v>
          </cell>
          <cell r="B59" t="str">
            <v>CORREIA ALTER/BOMBA DAGUA 24,92X1076X7</v>
          </cell>
        </row>
        <row r="59">
          <cell r="D59">
            <v>220.39</v>
          </cell>
        </row>
        <row r="60">
          <cell r="A60" t="str">
            <v>46337687</v>
          </cell>
          <cell r="B60" t="str">
            <v>CORREIA DENTADA-CONTINENTAL C/GRAXA</v>
          </cell>
        </row>
        <row r="60">
          <cell r="D60">
            <v>136.4</v>
          </cell>
        </row>
        <row r="61">
          <cell r="A61" t="str">
            <v>KSP261405AB</v>
          </cell>
          <cell r="B61" t="str">
            <v>VELA IGNICAO</v>
          </cell>
        </row>
        <row r="61">
          <cell r="D61">
            <v>129.42</v>
          </cell>
        </row>
        <row r="62">
          <cell r="A62" t="str">
            <v>K68191349AC</v>
          </cell>
          <cell r="B62" t="str">
            <v>KIT FILTRO OLEO  FILTRO GUARNICAO</v>
          </cell>
        </row>
        <row r="62">
          <cell r="D62">
            <v>197.04</v>
          </cell>
        </row>
        <row r="63">
          <cell r="A63" t="str">
            <v>K68535613AA</v>
          </cell>
          <cell r="B63" t="str">
            <v>ELEMENTO FILTRANTE DE AR CABINE</v>
          </cell>
        </row>
        <row r="63">
          <cell r="D63">
            <v>152.72</v>
          </cell>
        </row>
        <row r="64">
          <cell r="A64" t="str">
            <v>K68257791AB</v>
          </cell>
          <cell r="B64" t="str">
            <v>FILTRO DE AR</v>
          </cell>
        </row>
        <row r="64">
          <cell r="D64">
            <v>196.78</v>
          </cell>
        </row>
        <row r="65">
          <cell r="A65" t="str">
            <v>K1AML00006A</v>
          </cell>
          <cell r="B65" t="str">
            <v>FILTRO OLEO DO MOTOR</v>
          </cell>
        </row>
        <row r="65">
          <cell r="D65">
            <v>219.04</v>
          </cell>
        </row>
        <row r="66">
          <cell r="A66" t="str">
            <v>K68535621AA</v>
          </cell>
          <cell r="B66" t="str">
            <v>ELEMENTO FILTRANTE DE AR DA CABINE</v>
          </cell>
        </row>
        <row r="66">
          <cell r="D66">
            <v>513.607248</v>
          </cell>
        </row>
        <row r="67">
          <cell r="A67" t="str">
            <v>K68257030AA</v>
          </cell>
          <cell r="B67" t="str">
            <v>FILTRO DE AR DO MOTOR</v>
          </cell>
        </row>
        <row r="67">
          <cell r="D67">
            <v>593.72</v>
          </cell>
        </row>
        <row r="68">
          <cell r="A68" t="str">
            <v>K68535619AA</v>
          </cell>
          <cell r="B68" t="str">
            <v>FILTRO DE A/C</v>
          </cell>
        </row>
        <row r="68">
          <cell r="D68">
            <v>474.59</v>
          </cell>
        </row>
        <row r="69">
          <cell r="A69" t="str">
            <v>K52022378AB</v>
          </cell>
          <cell r="B69" t="str">
            <v>FILTRO DE AR DO MOTOR</v>
          </cell>
        </row>
        <row r="69">
          <cell r="D69">
            <v>330.82</v>
          </cell>
        </row>
        <row r="70">
          <cell r="A70" t="str">
            <v>K05083285AA</v>
          </cell>
          <cell r="B70" t="str">
            <v>FILTRO DE OLEO DO MOTOR</v>
          </cell>
        </row>
        <row r="70">
          <cell r="D70">
            <v>183.39</v>
          </cell>
        </row>
        <row r="71">
          <cell r="A71" t="str">
            <v>K68157291AA</v>
          </cell>
          <cell r="B71" t="str">
            <v>FILTRO DE COMBUSTIVEL</v>
          </cell>
        </row>
        <row r="71">
          <cell r="D71">
            <v>793.25</v>
          </cell>
        </row>
        <row r="72">
          <cell r="A72" t="str">
            <v>K68197867AB</v>
          </cell>
          <cell r="B72" t="str">
            <v>KIT FILTRO SEPARADOR</v>
          </cell>
        </row>
        <row r="72">
          <cell r="D72">
            <v>1540.984368</v>
          </cell>
        </row>
        <row r="73">
          <cell r="A73" t="str">
            <v>K68517554AA</v>
          </cell>
          <cell r="B73" t="str">
            <v>ELEMENTO FILTRANTE DE AR DO MOTOR</v>
          </cell>
        </row>
        <row r="73">
          <cell r="D73">
            <v>550.39</v>
          </cell>
        </row>
        <row r="74">
          <cell r="A74" t="str">
            <v>K05058693AA</v>
          </cell>
          <cell r="B74" t="str">
            <v>FILTRO DO AR CONDICIONADO</v>
          </cell>
        </row>
        <row r="74">
          <cell r="D74">
            <v>245.9</v>
          </cell>
        </row>
        <row r="75">
          <cell r="A75" t="str">
            <v>K68081249AD</v>
          </cell>
          <cell r="B75" t="str">
            <v>FILTRO AR</v>
          </cell>
        </row>
        <row r="75">
          <cell r="D75">
            <v>179.9</v>
          </cell>
        </row>
        <row r="76">
          <cell r="A76" t="str">
            <v>K68548579AA</v>
          </cell>
          <cell r="B76" t="str">
            <v>ELEMENTO FILTRANTE</v>
          </cell>
        </row>
        <row r="76">
          <cell r="D76">
            <v>667.88</v>
          </cell>
        </row>
        <row r="77">
          <cell r="A77" t="str">
            <v>K68436631AA</v>
          </cell>
          <cell r="B77" t="str">
            <v>ELEM. FITRANTE SEPAR. COMBUSTIVEL/AGUA</v>
          </cell>
        </row>
        <row r="77">
          <cell r="D77">
            <v>790.71</v>
          </cell>
        </row>
        <row r="78">
          <cell r="A78" t="str">
            <v>K68002433AC</v>
          </cell>
          <cell r="B78" t="str">
            <v>RESPIRO DO CARTER</v>
          </cell>
        </row>
        <row r="78">
          <cell r="D78">
            <v>1850.091936</v>
          </cell>
        </row>
        <row r="79">
          <cell r="A79" t="str">
            <v>K68606182AA</v>
          </cell>
          <cell r="B79" t="str">
            <v>FILTRO DO AR CONDICIONADO</v>
          </cell>
        </row>
        <row r="79">
          <cell r="D79">
            <v>204.611484</v>
          </cell>
        </row>
        <row r="80">
          <cell r="A80" t="str">
            <v>K04861756AA</v>
          </cell>
          <cell r="B80" t="str">
            <v>ELEMENTO DO FILTRO DE AR</v>
          </cell>
        </row>
        <row r="80">
          <cell r="D80">
            <v>647.44</v>
          </cell>
        </row>
        <row r="81">
          <cell r="A81" t="str">
            <v>K68492616AA</v>
          </cell>
          <cell r="B81" t="str">
            <v>FILTRO DE OLEO DO MOTOR</v>
          </cell>
        </row>
        <row r="81">
          <cell r="D81">
            <v>765.45</v>
          </cell>
        </row>
        <row r="82">
          <cell r="A82" t="str">
            <v>46343218</v>
          </cell>
          <cell r="B82" t="str">
            <v>FILTRO DE ?LEO</v>
          </cell>
        </row>
        <row r="82">
          <cell r="D82">
            <v>765.45</v>
          </cell>
        </row>
        <row r="83">
          <cell r="A83" t="str">
            <v>K68260792AB</v>
          </cell>
          <cell r="B83" t="str">
            <v>FILTRO DE AR DA CABINE</v>
          </cell>
        </row>
        <row r="83">
          <cell r="D83">
            <v>597.23</v>
          </cell>
        </row>
        <row r="84">
          <cell r="A84" t="str">
            <v>K04861688AB</v>
          </cell>
          <cell r="B84" t="str">
            <v>FILTRO DE AR DO MOTOR DE IGNICAO</v>
          </cell>
        </row>
        <row r="84">
          <cell r="D84">
            <v>409.45</v>
          </cell>
        </row>
        <row r="85">
          <cell r="A85" t="str">
            <v>K04726067AA</v>
          </cell>
          <cell r="B85" t="str">
            <v>FILTRO SEPARADOR DE COMBUSTIVEL</v>
          </cell>
        </row>
        <row r="85">
          <cell r="D85">
            <v>529.6</v>
          </cell>
        </row>
        <row r="86">
          <cell r="A86" t="str">
            <v>K68071668AA</v>
          </cell>
          <cell r="B86" t="str">
            <v>FILTRO AR CABINE</v>
          </cell>
        </row>
        <row r="86">
          <cell r="D86">
            <v>176.82</v>
          </cell>
        </row>
        <row r="87">
          <cell r="A87" t="str">
            <v>K04861746AB</v>
          </cell>
          <cell r="B87" t="str">
            <v>ELEMENTO FILTRO AR</v>
          </cell>
        </row>
        <row r="87">
          <cell r="D87">
            <v>637.951254243275</v>
          </cell>
        </row>
        <row r="88">
          <cell r="A88" t="str">
            <v>K68127809AA</v>
          </cell>
          <cell r="B88" t="str">
            <v>FILTRO DO AR CONDICIONADO</v>
          </cell>
        </row>
        <row r="88">
          <cell r="D88">
            <v>272.38</v>
          </cell>
        </row>
        <row r="89">
          <cell r="A89" t="str">
            <v>K68127809AB</v>
          </cell>
          <cell r="B89" t="str">
            <v>FILTRO DO AR CONDICIONADO</v>
          </cell>
        </row>
        <row r="89">
          <cell r="D89">
            <v>271.571916</v>
          </cell>
        </row>
        <row r="90">
          <cell r="A90" t="str">
            <v>K04861737AB</v>
          </cell>
          <cell r="B90" t="str">
            <v>FILTRO DE AR</v>
          </cell>
        </row>
        <row r="90">
          <cell r="D90">
            <v>604.8</v>
          </cell>
        </row>
        <row r="91">
          <cell r="A91" t="str">
            <v>K68386779AA</v>
          </cell>
          <cell r="B91" t="str">
            <v>PURIFICADOR DE AR</v>
          </cell>
        </row>
        <row r="91">
          <cell r="D91">
            <v>395.7</v>
          </cell>
        </row>
        <row r="92">
          <cell r="A92" t="str">
            <v>46348274</v>
          </cell>
          <cell r="B92" t="str">
            <v>CORREIA DE TRANSMISSAO</v>
          </cell>
        </row>
        <row r="92">
          <cell r="D92">
            <v>475</v>
          </cell>
        </row>
        <row r="93">
          <cell r="A93" t="str">
            <v>50051491</v>
          </cell>
          <cell r="B93" t="str">
            <v>VELA DE IGNICAO</v>
          </cell>
        </row>
        <row r="93">
          <cell r="D93">
            <v>252.11</v>
          </cell>
        </row>
        <row r="94">
          <cell r="A94" t="str">
            <v>71775823</v>
          </cell>
          <cell r="B94" t="str">
            <v>FILTRO DO AR CONDICIONADO CARVOES ATIVOS</v>
          </cell>
        </row>
        <row r="94">
          <cell r="D94">
            <v>154.6</v>
          </cell>
        </row>
        <row r="95">
          <cell r="A95" t="str">
            <v>KSP143877AB</v>
          </cell>
          <cell r="B95" t="str">
            <v>VELA DE IGNICAO</v>
          </cell>
        </row>
        <row r="95">
          <cell r="D95">
            <v>293.7396</v>
          </cell>
        </row>
        <row r="96">
          <cell r="A96" t="str">
            <v>46350119</v>
          </cell>
          <cell r="B96" t="str">
            <v>ANEL O RING</v>
          </cell>
        </row>
        <row r="96">
          <cell r="D96">
            <v>84.7109538065718</v>
          </cell>
        </row>
        <row r="97">
          <cell r="A97" t="str">
            <v>46347605</v>
          </cell>
          <cell r="B97" t="str">
            <v>FILTRO DE OLEO CC1.3 TURBO</v>
          </cell>
        </row>
        <row r="97">
          <cell r="D97">
            <v>112.46</v>
          </cell>
        </row>
        <row r="98">
          <cell r="A98" t="str">
            <v>53489525</v>
          </cell>
          <cell r="B98" t="str">
            <v>FILTRO COMBUSTIVEL MOTOR 1.3CC TUR CMBGA</v>
          </cell>
        </row>
        <row r="98">
          <cell r="D98">
            <v>35.9</v>
          </cell>
        </row>
        <row r="99">
          <cell r="A99" t="str">
            <v>52080841</v>
          </cell>
          <cell r="B99" t="str">
            <v>ELEMENTO FILTRANTE</v>
          </cell>
        </row>
        <row r="99">
          <cell r="D99">
            <v>114.17</v>
          </cell>
        </row>
        <row r="100">
          <cell r="A100" t="str">
            <v>52079874</v>
          </cell>
          <cell r="B100" t="str">
            <v>ELEMENTO FILTRANTE</v>
          </cell>
        </row>
        <row r="100">
          <cell r="D100">
            <v>180.21</v>
          </cell>
        </row>
        <row r="101">
          <cell r="A101" t="str">
            <v>46336161</v>
          </cell>
          <cell r="B101" t="str">
            <v>VELA IGNICAO</v>
          </cell>
        </row>
        <row r="101">
          <cell r="D101">
            <v>155.01</v>
          </cell>
        </row>
        <row r="102">
          <cell r="A102" t="str">
            <v>46348571</v>
          </cell>
          <cell r="B102" t="str">
            <v>CORREIA ALTERNADOR/COMPRESSOR</v>
          </cell>
        </row>
        <row r="102">
          <cell r="D102">
            <v>88.64</v>
          </cell>
        </row>
        <row r="103">
          <cell r="A103" t="str">
            <v>K68565698AA</v>
          </cell>
          <cell r="B103" t="str">
            <v>ELEMENTO FILTRANTE AR CONDICIONADO</v>
          </cell>
        </row>
        <row r="103">
          <cell r="D103">
            <v>521</v>
          </cell>
        </row>
        <row r="104">
          <cell r="A104" t="str">
            <v>KSP225755AB</v>
          </cell>
          <cell r="B104" t="str">
            <v>VELA IGNICAO</v>
          </cell>
        </row>
        <row r="104">
          <cell r="D104">
            <v>389.12</v>
          </cell>
        </row>
        <row r="105">
          <cell r="A105" t="str">
            <v>46337528</v>
          </cell>
          <cell r="B105" t="str">
            <v>FILTRO DE OLEO</v>
          </cell>
        </row>
        <row r="105">
          <cell r="D105">
            <v>78.44</v>
          </cell>
        </row>
        <row r="106">
          <cell r="A106" t="str">
            <v>155253938</v>
          </cell>
          <cell r="B106" t="str">
            <v>TENSOR DA CORREIA DENTADA</v>
          </cell>
        </row>
        <row r="106">
          <cell r="D106">
            <v>381.11</v>
          </cell>
        </row>
        <row r="107">
          <cell r="A107" t="str">
            <v>155254522</v>
          </cell>
          <cell r="B107" t="str">
            <v>BOMBA DE AGUA DO MOTOR</v>
          </cell>
        </row>
        <row r="107">
          <cell r="D107">
            <v>1612.97598</v>
          </cell>
        </row>
        <row r="108">
          <cell r="A108" t="str">
            <v>9813908180</v>
          </cell>
          <cell r="B108" t="str">
            <v>CORREIA</v>
          </cell>
        </row>
        <row r="108">
          <cell r="D108">
            <v>205.93</v>
          </cell>
        </row>
        <row r="109">
          <cell r="A109" t="str">
            <v>155253564</v>
          </cell>
          <cell r="B109" t="str">
            <v>TENSOR CORREIA AUX</v>
          </cell>
        </row>
        <row r="109">
          <cell r="D109">
            <v>559</v>
          </cell>
        </row>
        <row r="110">
          <cell r="A110" t="str">
            <v>46344793</v>
          </cell>
          <cell r="B110" t="str">
            <v>VELA DE IGNICAO</v>
          </cell>
        </row>
        <row r="110">
          <cell r="D110">
            <v>254.93</v>
          </cell>
        </row>
        <row r="111">
          <cell r="A111" t="str">
            <v>77369203</v>
          </cell>
          <cell r="B111" t="str">
            <v>ELEMENTO FILTRANTE AR CONDICIONADO</v>
          </cell>
        </row>
        <row r="111">
          <cell r="D111">
            <v>178.5</v>
          </cell>
        </row>
        <row r="112">
          <cell r="A112" t="str">
            <v>46345198</v>
          </cell>
          <cell r="B112" t="str">
            <v>CORREIA DE BORRACHA</v>
          </cell>
        </row>
        <row r="112">
          <cell r="D112">
            <v>607.8</v>
          </cell>
        </row>
        <row r="113">
          <cell r="A113" t="str">
            <v>9467642480</v>
          </cell>
          <cell r="B113" t="str">
            <v>CORREIA DE BORRACHA</v>
          </cell>
        </row>
        <row r="113">
          <cell r="D113">
            <v>581.33</v>
          </cell>
        </row>
        <row r="114">
          <cell r="A114" t="str">
            <v>6000633316</v>
          </cell>
          <cell r="B114" t="str">
            <v>FILTRO DE AR CONDICIONADO</v>
          </cell>
        </row>
        <row r="114">
          <cell r="D114">
            <v>79</v>
          </cell>
        </row>
        <row r="115">
          <cell r="A115" t="str">
            <v>155258297</v>
          </cell>
          <cell r="B115" t="str">
            <v>BOMBA DE AGUA DO MOTOR</v>
          </cell>
        </row>
        <row r="115">
          <cell r="D115">
            <v>1208.85534</v>
          </cell>
        </row>
        <row r="116">
          <cell r="A116" t="str">
            <v>7094559</v>
          </cell>
          <cell r="B116" t="str">
            <v>ELEMENTO FILTRANTE</v>
          </cell>
        </row>
        <row r="116">
          <cell r="D116">
            <v>267.12</v>
          </cell>
        </row>
        <row r="117">
          <cell r="A117" t="str">
            <v>9809996880</v>
          </cell>
          <cell r="B117" t="str">
            <v>CORREIA</v>
          </cell>
        </row>
        <row r="117">
          <cell r="D117">
            <v>274.05734512484</v>
          </cell>
        </row>
        <row r="118">
          <cell r="A118" t="str">
            <v>155253402</v>
          </cell>
          <cell r="B118" t="str">
            <v>TENSOR DE CORREIA</v>
          </cell>
        </row>
        <row r="118">
          <cell r="D118">
            <v>583.494912</v>
          </cell>
        </row>
        <row r="119">
          <cell r="A119" t="str">
            <v>53485830</v>
          </cell>
          <cell r="B119" t="str">
            <v>ELEMENTO FILTRANTE</v>
          </cell>
        </row>
        <row r="119">
          <cell r="D119">
            <v>289</v>
          </cell>
        </row>
        <row r="120">
          <cell r="A120" t="str">
            <v>K68089195AA</v>
          </cell>
          <cell r="B120" t="str">
            <v>OLEO LUBRIFICANTE</v>
          </cell>
        </row>
        <row r="120">
          <cell r="D120">
            <v>330.631341911574</v>
          </cell>
        </row>
        <row r="121">
          <cell r="A121" t="str">
            <v>K04892339BE</v>
          </cell>
          <cell r="B121" t="str">
            <v>Elemento Filtrante do Filtro Óleo </v>
          </cell>
        </row>
        <row r="121">
          <cell r="D121">
            <v>102.7</v>
          </cell>
        </row>
        <row r="122">
          <cell r="A122" t="str">
            <v>K68608193AA</v>
          </cell>
          <cell r="B122" t="str">
            <v>Filtro Ar Condicionado</v>
          </cell>
        </row>
        <row r="122">
          <cell r="D122">
            <v>816.4</v>
          </cell>
        </row>
        <row r="123">
          <cell r="A123" t="str">
            <v>K68357605AA</v>
          </cell>
          <cell r="B123" t="str">
            <v>Elemento Filtrante do Ar</v>
          </cell>
        </row>
        <row r="123">
          <cell r="D123">
            <v>706.19</v>
          </cell>
        </row>
        <row r="124">
          <cell r="A124" t="str">
            <v>K68292346AA</v>
          </cell>
          <cell r="B124" t="str">
            <v>Vela de Ignição</v>
          </cell>
        </row>
        <row r="124">
          <cell r="D124">
            <v>252.11</v>
          </cell>
        </row>
        <row r="125">
          <cell r="A125" t="str">
            <v>50049079</v>
          </cell>
          <cell r="B125" t="str">
            <v>CORREIA DE BORRACHA DE TRANSMISSAO</v>
          </cell>
        </row>
        <row r="125">
          <cell r="D125">
            <v>411.1</v>
          </cell>
        </row>
        <row r="126">
          <cell r="A126" t="str">
            <v>53490623</v>
          </cell>
          <cell r="B126" t="str">
            <v>FILTRO COMBUSTIVEL BENZINA</v>
          </cell>
        </row>
        <row r="126">
          <cell r="D126">
            <v>64.39</v>
          </cell>
        </row>
        <row r="127">
          <cell r="A127" t="str">
            <v>155255800</v>
          </cell>
          <cell r="B127" t="str">
            <v>Filtro de Combustível</v>
          </cell>
        </row>
        <row r="127">
          <cell r="D127">
            <v>305</v>
          </cell>
        </row>
        <row r="128">
          <cell r="A128" t="str">
            <v>155255862</v>
          </cell>
          <cell r="B128" t="str">
            <v>Filtro de Ar</v>
          </cell>
        </row>
        <row r="128">
          <cell r="D128">
            <v>304.39</v>
          </cell>
        </row>
        <row r="129">
          <cell r="A129" t="str">
            <v>155253408</v>
          </cell>
          <cell r="B129" t="str">
            <v>KIT DIST+POM AC</v>
          </cell>
        </row>
        <row r="129">
          <cell r="D129">
            <v>1805.187384</v>
          </cell>
        </row>
        <row r="130">
          <cell r="A130" t="str">
            <v>155255880</v>
          </cell>
          <cell r="B130" t="str">
            <v>KIT ACCESSORI</v>
          </cell>
        </row>
        <row r="130">
          <cell r="D130">
            <v>602.5</v>
          </cell>
        </row>
        <row r="131">
          <cell r="A131" t="str">
            <v>K68466307AB</v>
          </cell>
          <cell r="B131" t="str">
            <v>FILTRO DE OLEO DO MOTOR</v>
          </cell>
        </row>
        <row r="131">
          <cell r="D131">
            <v>284.52</v>
          </cell>
        </row>
        <row r="132">
          <cell r="A132" t="str">
            <v>K68575644AB</v>
          </cell>
          <cell r="B132" t="str">
            <v>ELEMENTO FILTRANTE</v>
          </cell>
        </row>
        <row r="132">
          <cell r="D132">
            <v>758.99</v>
          </cell>
        </row>
        <row r="133">
          <cell r="A133" t="str">
            <v>46356228</v>
          </cell>
          <cell r="B133" t="str">
            <v>Filtro de Óleo</v>
          </cell>
        </row>
        <row r="133">
          <cell r="D133">
            <v>110.2</v>
          </cell>
        </row>
        <row r="134">
          <cell r="A134" t="str">
            <v>52234083</v>
          </cell>
          <cell r="B134" t="str">
            <v>Elemento Filtrante do Ar</v>
          </cell>
        </row>
        <row r="134">
          <cell r="D134">
            <v>181.5</v>
          </cell>
        </row>
        <row r="135">
          <cell r="A135" t="str">
            <v>46358641</v>
          </cell>
          <cell r="B135" t="str">
            <v>Correia dos orgãos auxiliares do motor</v>
          </cell>
        </row>
        <row r="135">
          <cell r="D135">
            <v>289.35</v>
          </cell>
        </row>
        <row r="136">
          <cell r="A136" t="str">
            <v>46356229</v>
          </cell>
          <cell r="B136" t="str">
            <v>Correia dentada do comando da distribuição</v>
          </cell>
        </row>
        <row r="136">
          <cell r="D136">
            <v>567.55</v>
          </cell>
        </row>
        <row r="137">
          <cell r="A137" t="str">
            <v>46357445</v>
          </cell>
          <cell r="B137" t="str">
            <v>CORREIA AUXILIAR MOTOR 6PK</v>
          </cell>
        </row>
        <row r="137">
          <cell r="D137">
            <v>283.39</v>
          </cell>
        </row>
        <row r="138">
          <cell r="A138" t="str">
            <v>9801366680</v>
          </cell>
          <cell r="B138" t="str">
            <v>ELEMENTO FILTRANTE DE COMBUSTIVEL</v>
          </cell>
        </row>
        <row r="138">
          <cell r="D138">
            <v>202.89</v>
          </cell>
        </row>
        <row r="139">
          <cell r="A139" t="str">
            <v>46357071</v>
          </cell>
          <cell r="B139" t="str">
            <v>CORREIA TRANSMISSAO</v>
          </cell>
        </row>
        <row r="139">
          <cell r="D139">
            <v>289</v>
          </cell>
        </row>
        <row r="140">
          <cell r="A140" t="str">
            <v>9853098280</v>
          </cell>
          <cell r="B140" t="str">
            <v>ELEMENTO FILTRO DE AR</v>
          </cell>
        </row>
        <row r="140">
          <cell r="D140">
            <v>168.9</v>
          </cell>
        </row>
        <row r="141">
          <cell r="A141" t="str">
            <v>1699580280</v>
          </cell>
          <cell r="B141" t="str">
            <v>ELEMENTO FILTRANTE</v>
          </cell>
        </row>
        <row r="141">
          <cell r="D141">
            <v>212.95</v>
          </cell>
        </row>
        <row r="142">
          <cell r="A142" t="str">
            <v>52233685</v>
          </cell>
          <cell r="B142" t="str">
            <v>FILTRO AR</v>
          </cell>
        </row>
        <row r="142">
          <cell r="D142">
            <v>1206.304176</v>
          </cell>
        </row>
        <row r="143">
          <cell r="A143" t="str">
            <v>52222118</v>
          </cell>
          <cell r="B143" t="str">
            <v>Elemento do filtro de aspirção de ar do motor</v>
          </cell>
        </row>
        <row r="143">
          <cell r="D143">
            <v>668.44</v>
          </cell>
        </row>
        <row r="144">
          <cell r="A144" t="str">
            <v>7099618</v>
          </cell>
          <cell r="B144" t="str">
            <v>FILTRO VAPOR COMBUSTIVEL</v>
          </cell>
        </row>
        <row r="144">
          <cell r="D144">
            <v>213.64728</v>
          </cell>
        </row>
        <row r="145">
          <cell r="A145" t="str">
            <v>6002680378</v>
          </cell>
          <cell r="B145" t="str">
            <v>ELEMENTO DO FILTRO DO A/C</v>
          </cell>
        </row>
        <row r="145">
          <cell r="D145">
            <v>128.59</v>
          </cell>
        </row>
        <row r="146">
          <cell r="A146" t="str">
            <v>6002684193</v>
          </cell>
          <cell r="B146" t="str">
            <v>FILTRO DE ÓLEO</v>
          </cell>
        </row>
        <row r="146">
          <cell r="D146">
            <v>122.87</v>
          </cell>
        </row>
        <row r="147">
          <cell r="A147" t="str">
            <v>6002684354</v>
          </cell>
          <cell r="B147" t="str">
            <v>ELEMENTO FILTRO DO AR</v>
          </cell>
        </row>
        <row r="147">
          <cell r="D147">
            <v>138.05</v>
          </cell>
        </row>
        <row r="148">
          <cell r="A148" t="str">
            <v>6002684318</v>
          </cell>
          <cell r="B148" t="str">
            <v>VELA DE IGNIÇÃO</v>
          </cell>
        </row>
        <row r="148">
          <cell r="D148">
            <v>274.89</v>
          </cell>
        </row>
        <row r="149">
          <cell r="A149" t="str">
            <v>6002684412</v>
          </cell>
          <cell r="B149" t="str">
            <v>MANGUEIRA DE BORRACHA</v>
          </cell>
        </row>
        <row r="149">
          <cell r="D149">
            <v>174.84</v>
          </cell>
        </row>
        <row r="150">
          <cell r="A150" t="str">
            <v>9868511280</v>
          </cell>
          <cell r="B150" t="str">
            <v>FILTRO DE COMBUSTIVEL</v>
          </cell>
        </row>
        <row r="150">
          <cell r="D150">
            <v>490</v>
          </cell>
        </row>
        <row r="151">
          <cell r="A151" t="str">
            <v>50167285</v>
          </cell>
          <cell r="B151" t="str">
            <v>FILTRO VAPOR COMBUSTIVEL</v>
          </cell>
        </row>
        <row r="151">
          <cell r="D151">
            <v>1037.48</v>
          </cell>
        </row>
        <row r="152">
          <cell r="A152" t="str">
            <v>50058444</v>
          </cell>
          <cell r="B152" t="str">
            <v>VELA IGNICAO IRIDIUM</v>
          </cell>
        </row>
        <row r="152">
          <cell r="D152">
            <v>240.1</v>
          </cell>
        </row>
        <row r="153">
          <cell r="A153" t="str">
            <v>52033266</v>
          </cell>
          <cell r="B153" t="str">
            <v>FILTRO COMBUSTIVEL</v>
          </cell>
        </row>
        <row r="153">
          <cell r="D153">
            <v>1836.065616</v>
          </cell>
        </row>
        <row r="154">
          <cell r="A154" t="str">
            <v>46349670</v>
          </cell>
          <cell r="B154" t="str">
            <v>CORREIA POLY-V ALTERNADOR/COMPRESSOR</v>
          </cell>
        </row>
        <row r="154">
          <cell r="D154">
            <v>180.85</v>
          </cell>
        </row>
        <row r="155">
          <cell r="A155" t="str">
            <v>7097655</v>
          </cell>
          <cell r="B155" t="str">
            <v>Filtro de ar limpo do canister</v>
          </cell>
        </row>
        <row r="155">
          <cell r="D155">
            <v>178.3</v>
          </cell>
        </row>
        <row r="156">
          <cell r="A156" t="str">
            <v>K68677800AA</v>
          </cell>
          <cell r="B156" t="str">
            <v>Kit elemento do filtro de combustível</v>
          </cell>
        </row>
        <row r="156">
          <cell r="D156">
            <v>2790</v>
          </cell>
        </row>
        <row r="157">
          <cell r="A157" t="str">
            <v>K68677810AA</v>
          </cell>
          <cell r="B157" t="str">
            <v>Filtro de Óleo do Motor</v>
          </cell>
        </row>
        <row r="157">
          <cell r="D157">
            <v>635</v>
          </cell>
        </row>
        <row r="158">
          <cell r="A158" t="str">
            <v>K68645327AA</v>
          </cell>
          <cell r="B158" t="str">
            <v>Filtro de Ar do Motor</v>
          </cell>
        </row>
        <row r="158">
          <cell r="D158">
            <v>439.04</v>
          </cell>
        </row>
        <row r="159">
          <cell r="A159" t="str">
            <v>2850000369</v>
          </cell>
          <cell r="B159" t="str">
            <v>REMOVEDOR CARBONO ISO TECH 1L</v>
          </cell>
        </row>
        <row r="160">
          <cell r="A160" t="str">
            <v>9878309480</v>
          </cell>
          <cell r="B160" t="str">
            <v>Elemento do filtro de Combustível</v>
          </cell>
        </row>
        <row r="160">
          <cell r="D160">
            <v>490</v>
          </cell>
        </row>
        <row r="161">
          <cell r="A161" t="str">
            <v>2850000479</v>
          </cell>
          <cell r="B161" t="str">
            <v>ISOTECH 012 LIMPA INJETORES GDI</v>
          </cell>
        </row>
        <row r="161">
          <cell r="D161">
            <v>124.449</v>
          </cell>
        </row>
        <row r="162">
          <cell r="A162" t="str">
            <v>K68079487AB</v>
          </cell>
          <cell r="B162" t="str">
            <v>FILTRO DO AR</v>
          </cell>
        </row>
        <row r="162">
          <cell r="D162">
            <v>561.22</v>
          </cell>
        </row>
        <row r="164">
          <cell r="A164" t="str">
            <v>2852960097</v>
          </cell>
          <cell r="B164" t="str">
            <v>Líquido de Arrefecimento - OAT -25°C</v>
          </cell>
        </row>
        <row r="164">
          <cell r="D164">
            <v>132.826678117123</v>
          </cell>
        </row>
        <row r="165">
          <cell r="A165" t="str">
            <v>7098151</v>
          </cell>
          <cell r="B165" t="str">
            <v>Óleo do Redutor - Idemitsu Lube LP-EDF-01 (OM)</v>
          </cell>
        </row>
        <row r="165">
          <cell r="D165">
            <v>270.81978</v>
          </cell>
        </row>
        <row r="166">
          <cell r="A166" t="str">
            <v>2852960050</v>
          </cell>
          <cell r="B166" t="str">
            <v>Fluído de Freio DOT 4</v>
          </cell>
        </row>
        <row r="166">
          <cell r="D166">
            <v>12.025</v>
          </cell>
        </row>
        <row r="167">
          <cell r="A167" t="str">
            <v>6002680761</v>
          </cell>
          <cell r="B167" t="str">
            <v>FILTRO DE OLEO DO REDUTOR</v>
          </cell>
        </row>
        <row r="167">
          <cell r="D167">
            <v>65.9</v>
          </cell>
        </row>
        <row r="168">
          <cell r="A168" t="str">
            <v>155255303</v>
          </cell>
          <cell r="B168" t="str">
            <v>FLUIDO DE FREIO (0,5L)</v>
          </cell>
        </row>
        <row r="168">
          <cell r="D168">
            <v>32.6983628145484</v>
          </cell>
        </row>
        <row r="169">
          <cell r="A169" t="str">
            <v>155255304</v>
          </cell>
          <cell r="B169" t="str">
            <v>FLUIDO DE FREIO (5,0L)</v>
          </cell>
        </row>
        <row r="169">
          <cell r="D169">
            <v>580.293252</v>
          </cell>
        </row>
        <row r="170">
          <cell r="A170" t="str">
            <v>7096425</v>
          </cell>
          <cell r="B170" t="str">
            <v>OLEO 80W 90 GL 5  1L</v>
          </cell>
        </row>
        <row r="170">
          <cell r="D170">
            <v>103.451073876523</v>
          </cell>
        </row>
        <row r="171">
          <cell r="A171" t="str">
            <v>7094487</v>
          </cell>
          <cell r="B171" t="str">
            <v>OLEO MOTOR  INEO HTC 5W30  1L</v>
          </cell>
        </row>
        <row r="171">
          <cell r="D171">
            <v>98.4735649675258</v>
          </cell>
        </row>
        <row r="172">
          <cell r="A172" t="str">
            <v>7099873</v>
          </cell>
          <cell r="B172" t="str">
            <v>Óleo da caixa de câmbio mecânica</v>
          </cell>
        </row>
        <row r="172">
          <cell r="D172">
            <v>165.76</v>
          </cell>
        </row>
        <row r="173">
          <cell r="A173" t="str">
            <v>46360326</v>
          </cell>
          <cell r="B173" t="str">
            <v>Correia dos órgão auxiliares</v>
          </cell>
        </row>
        <row r="173">
          <cell r="D173">
            <v>208.99</v>
          </cell>
        </row>
        <row r="174">
          <cell r="A174" t="str">
            <v>7096883</v>
          </cell>
          <cell r="B174" t="str">
            <v>Filtro de ar limpo do canister</v>
          </cell>
        </row>
        <row r="174">
          <cell r="D174">
            <v>199.05</v>
          </cell>
        </row>
        <row r="177">
          <cell r="A177" t="str">
            <v>K68218941LA_J</v>
          </cell>
          <cell r="B177" t="str">
            <v>MOPAR MAXPRO DIESEL DPF 15W40 CJ4 CX3X5L</v>
          </cell>
        </row>
        <row r="177">
          <cell r="D177">
            <v>80.826</v>
          </cell>
        </row>
        <row r="178">
          <cell r="A178" t="str">
            <v>K04549625LA_J</v>
          </cell>
          <cell r="B178" t="str">
            <v>MOPAR BRAKE FLUID DOT 4</v>
          </cell>
        </row>
        <row r="178">
          <cell r="D178">
            <v>39.9267105370724</v>
          </cell>
        </row>
        <row r="179">
          <cell r="A179" t="str">
            <v>K04549626LA_J</v>
          </cell>
          <cell r="B179" t="str">
            <v>MOPAR BRAKE FLUID DOT 4S</v>
          </cell>
        </row>
        <row r="179">
          <cell r="D179">
            <v>53.5498083915208</v>
          </cell>
        </row>
        <row r="180">
          <cell r="A180" t="str">
            <v>K04549625LA_F</v>
          </cell>
          <cell r="B180" t="str">
            <v>MOPAR BRAKE FLUID DOT 4</v>
          </cell>
        </row>
        <row r="180">
          <cell r="D180">
            <v>33.6224930838505</v>
          </cell>
        </row>
        <row r="181">
          <cell r="A181" t="str">
            <v>K04549626LA_F</v>
          </cell>
          <cell r="B181" t="str">
            <v>MOPAR BRAKE FLUID DOT 4S</v>
          </cell>
        </row>
        <row r="181">
          <cell r="D181">
            <v>45.09</v>
          </cell>
        </row>
        <row r="182">
          <cell r="A182" t="str">
            <v>K68218921LA_F</v>
          </cell>
          <cell r="B182" t="str">
            <v>MOPAR MAXPRO 5W30 (SN/GF-5)</v>
          </cell>
        </row>
        <row r="182">
          <cell r="D182">
            <v>75.7</v>
          </cell>
        </row>
        <row r="183">
          <cell r="A183" t="str">
            <v>K68218951LA_F</v>
          </cell>
          <cell r="B183" t="str">
            <v>MOPAR MAXPRO SYNTHETIC 0W20 (SP/GF-6A)</v>
          </cell>
        </row>
        <row r="183">
          <cell r="D183">
            <v>81.26</v>
          </cell>
        </row>
        <row r="184">
          <cell r="A184" t="str">
            <v>K68231015LA_F</v>
          </cell>
          <cell r="B184" t="str">
            <v>MOPAR MAXPRO DIESEL DPF C2 5W30</v>
          </cell>
        </row>
        <row r="184">
          <cell r="D184">
            <v>91.54</v>
          </cell>
        </row>
        <row r="185">
          <cell r="A185" t="str">
            <v>K68231015LA_F (1)</v>
          </cell>
          <cell r="B185" t="str">
            <v>MOPAR MAXPRO DIESEL DPF C2 5W30 (NOVO DUCATO)</v>
          </cell>
        </row>
        <row r="185">
          <cell r="D185">
            <v>70.4858</v>
          </cell>
        </row>
        <row r="186">
          <cell r="A186" t="str">
            <v>K68444160LA_F</v>
          </cell>
          <cell r="B186" t="str">
            <v>MOPAR MAXPRO SYNTHETIC 0W30</v>
          </cell>
        </row>
        <row r="186">
          <cell r="D186">
            <v>87.82</v>
          </cell>
        </row>
        <row r="187">
          <cell r="A187" t="str">
            <v>K68444160LA_J</v>
          </cell>
          <cell r="B187" t="str">
            <v>MOPAR MAXPRO SYNTHETIC 0W30</v>
          </cell>
        </row>
        <row r="187">
          <cell r="D187">
            <v>83.429</v>
          </cell>
        </row>
        <row r="188">
          <cell r="A188" t="str">
            <v>K68231021LA_F</v>
          </cell>
          <cell r="B188" t="str">
            <v>HELIX ULTRA PROF AV 5W40</v>
          </cell>
        </row>
        <row r="188">
          <cell r="D188">
            <v>92.1</v>
          </cell>
        </row>
        <row r="189">
          <cell r="A189" t="str">
            <v>K68218890LA_F</v>
          </cell>
          <cell r="B189" t="str">
            <v>MOPAR MAXPRO SYNTHETIC 5W20 (SP/GF-6A)</v>
          </cell>
        </row>
        <row r="189">
          <cell r="D189">
            <v>89.98</v>
          </cell>
        </row>
        <row r="190">
          <cell r="A190" t="str">
            <v>K68218921LA_J</v>
          </cell>
          <cell r="B190" t="str">
            <v>MOPAR MAXPRO 5W30 (SN/GF-5)</v>
          </cell>
        </row>
        <row r="190">
          <cell r="D190">
            <v>71.915</v>
          </cell>
        </row>
        <row r="191">
          <cell r="A191" t="str">
            <v>K68231015LA_J</v>
          </cell>
          <cell r="B191" t="str">
            <v>MOPAR MAXPRO DIESEL DPF C2 5W30</v>
          </cell>
        </row>
        <row r="191">
          <cell r="D191">
            <v>86.963</v>
          </cell>
        </row>
        <row r="192">
          <cell r="A192" t="str">
            <v>K68218890LA_J</v>
          </cell>
          <cell r="B192" t="str">
            <v>MOPAR MAXPRO SYNTHETIC 5W20 (SP/GF-6A)</v>
          </cell>
        </row>
        <row r="192">
          <cell r="D192">
            <v>85.481</v>
          </cell>
        </row>
        <row r="193">
          <cell r="A193" t="str">
            <v>K68231021LA_J</v>
          </cell>
          <cell r="B193" t="str">
            <v>HELIX ULTRA PROF AV 5W40</v>
          </cell>
        </row>
        <row r="193">
          <cell r="D193">
            <v>87.495</v>
          </cell>
        </row>
        <row r="194">
          <cell r="A194" t="str">
            <v>K68320416LB_J</v>
          </cell>
          <cell r="B194" t="str">
            <v>MOPAR MAXPRO SYNTHETIC 5W30 (SP/GF-6A)</v>
          </cell>
        </row>
        <row r="194">
          <cell r="D194">
            <v>80.883</v>
          </cell>
        </row>
        <row r="195">
          <cell r="A195" t="str">
            <v>K68218951LA_J</v>
          </cell>
          <cell r="B195" t="str">
            <v>MOPAR MAXPRO SYNTHETIC 0W20 (SP/GF-6A)</v>
          </cell>
        </row>
        <row r="195">
          <cell r="D195">
            <v>77.197</v>
          </cell>
        </row>
        <row r="196">
          <cell r="A196" t="str">
            <v>7092751</v>
          </cell>
          <cell r="B196" t="str">
            <v>Rimula R5 LE 10W40 CK-4</v>
          </cell>
        </row>
        <row r="196">
          <cell r="D196">
            <v>102.961</v>
          </cell>
        </row>
        <row r="197">
          <cell r="A197" t="str">
            <v>7093293_F</v>
          </cell>
          <cell r="B197" t="str">
            <v>FLUIDO DE FREIO 500 BEV</v>
          </cell>
        </row>
        <row r="197">
          <cell r="D197">
            <v>61.79137536</v>
          </cell>
        </row>
        <row r="198">
          <cell r="A198" t="str">
            <v>7093293_J</v>
          </cell>
          <cell r="B198" t="str">
            <v>FLUIDO DE FREIO COMPASS PHEV</v>
          </cell>
        </row>
        <row r="198">
          <cell r="D198">
            <v>67.8414</v>
          </cell>
        </row>
        <row r="199">
          <cell r="A199" t="str">
            <v>7094488</v>
          </cell>
          <cell r="B199" t="str">
            <v>Liquido de Arrefecimento Diluido -35° (DFS)</v>
          </cell>
        </row>
        <row r="199">
          <cell r="D199">
            <v>61.98</v>
          </cell>
        </row>
        <row r="200">
          <cell r="A200" t="str">
            <v>7096432</v>
          </cell>
          <cell r="B200" t="str">
            <v>SPIRAX S6 ATF X 6x1L</v>
          </cell>
        </row>
        <row r="200">
          <cell r="D200">
            <v>92.592</v>
          </cell>
        </row>
        <row r="201">
          <cell r="A201" t="str">
            <v>7096430</v>
          </cell>
          <cell r="B201" t="str">
            <v>SPIRAX S3 ATF MD3 CX 6 X 1L</v>
          </cell>
        </row>
        <row r="201">
          <cell r="D201">
            <v>77.744</v>
          </cell>
        </row>
        <row r="202">
          <cell r="A202" t="str">
            <v>7096960</v>
          </cell>
          <cell r="B202" t="str">
            <v>Aditivo para óleo do motor - TUNAP</v>
          </cell>
        </row>
        <row r="202">
          <cell r="D202">
            <v>290.498</v>
          </cell>
        </row>
        <row r="203">
          <cell r="A203" t="str">
            <v>K68218041LA_F</v>
          </cell>
          <cell r="B203" t="str">
            <v>80W 90GL-5</v>
          </cell>
        </row>
        <row r="203">
          <cell r="D203">
            <v>96.368</v>
          </cell>
        </row>
        <row r="204">
          <cell r="A204" t="str">
            <v>K68218921LA_L</v>
          </cell>
          <cell r="B204" t="str">
            <v>MOPAR MAXPRO 5W30 (SN/GF-5)</v>
          </cell>
        </row>
        <row r="204">
          <cell r="D204">
            <v>52.99</v>
          </cell>
        </row>
        <row r="205">
          <cell r="A205" t="str">
            <v>7098496</v>
          </cell>
          <cell r="B205" t="str">
            <v>ADITIVO DETOX DGA - SOLUBILIZANTE (180 ml)</v>
          </cell>
        </row>
        <row r="205">
          <cell r="D205">
            <v>79.963</v>
          </cell>
        </row>
        <row r="206">
          <cell r="A206" t="str">
            <v>7099025</v>
          </cell>
          <cell r="B206" t="str">
            <v>ADITIVO DT300 TREATMENT (370 ml)</v>
          </cell>
        </row>
        <row r="206">
          <cell r="D206">
            <v>79.469</v>
          </cell>
        </row>
        <row r="207">
          <cell r="A207" t="str">
            <v>7095576</v>
          </cell>
          <cell r="B207" t="str">
            <v>SAE 75W – API GL4 (Mopar Dual Dry Clutch Transmission Fluid)</v>
          </cell>
        </row>
        <row r="207">
          <cell r="D207">
            <v>165.97812</v>
          </cell>
        </row>
        <row r="208">
          <cell r="A208" t="str">
            <v>K68547228LA_F</v>
          </cell>
          <cell r="B208" t="str">
            <v>MOPAR Coolant OAT 50</v>
          </cell>
        </row>
        <row r="209">
          <cell r="A209" t="str">
            <v>K68163849LA</v>
          </cell>
          <cell r="B209" t="str">
            <v>MOPAR Coolant OAT 50 5,0L</v>
          </cell>
        </row>
        <row r="210">
          <cell r="A210" t="str">
            <v>K04549626LA</v>
          </cell>
          <cell r="B210" t="str">
            <v>MOPAR BRAKE FLUID DOT 4S</v>
          </cell>
        </row>
        <row r="210">
          <cell r="D210">
            <v>53.5498083915208</v>
          </cell>
        </row>
        <row r="211">
          <cell r="A211" t="str">
            <v>K68218925LA</v>
          </cell>
        </row>
      </sheetData>
      <sheetData sheetId="1"/>
      <sheetData sheetId="2"/>
      <sheetData sheetId="3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00FF"/>
    <pageSetUpPr fitToPage="true"/>
  </sheetPr>
  <dimension ref="A1:AE5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3" topLeftCell="A4" activePane="bottomLeft" state="frozen"/>
      <selection pane="topLeft" activeCell="A1" activeCellId="0" sqref="A1"/>
      <selection pane="bottomLeft" activeCell="Q32" activeCellId="0" sqref="Q32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2.3"/>
    <col collapsed="false" customWidth="true" hidden="false" outlineLevel="0" max="2" min="2" style="0" width="27.71"/>
    <col collapsed="false" customWidth="true" hidden="false" outlineLevel="0" max="12" min="3" style="0" width="15.71"/>
    <col collapsed="false" customWidth="true" hidden="false" outlineLevel="0" max="14" min="13" style="0" width="11.86"/>
    <col collapsed="false" customWidth="true" hidden="false" outlineLevel="0" max="17" min="15" style="0" width="11.57"/>
    <col collapsed="false" customWidth="true" hidden="false" outlineLevel="0" max="19" min="18" style="0" width="8.86"/>
    <col collapsed="false" customWidth="true" hidden="false" outlineLevel="0" max="31" min="20" style="0" width="9.13"/>
  </cols>
  <sheetData>
    <row r="1" customFormat="false" ht="26.2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21.75" hidden="false" customHeight="true" outlineLevel="0" collapsed="false">
      <c r="A2" s="1"/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customFormat="false" ht="17.25" hidden="false" customHeight="true" outlineLevel="0" collapsed="false">
      <c r="A3" s="1"/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7" t="s">
        <v>12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customFormat="false" ht="18.75" hidden="false" customHeight="true" outlineLevel="0" collapsed="false">
      <c r="A4" s="8"/>
      <c r="B4" s="9" t="str">
        <f aca="false">'NOVO UNO 1.0 FIRE'!A1</f>
        <v>UNO 1.0 FIRE</v>
      </c>
      <c r="C4" s="10" t="n">
        <f aca="false">'NOVO UNO 1.0 FIRE'!O2</f>
        <v>608</v>
      </c>
      <c r="D4" s="10" t="n">
        <f aca="false">'NOVO UNO 1.0 FIRE'!P2</f>
        <v>813</v>
      </c>
      <c r="E4" s="10" t="n">
        <f aca="false">'NOVO UNO 1.0 FIRE'!Q2</f>
        <v>1098</v>
      </c>
      <c r="F4" s="10" t="n">
        <f aca="false">'NOVO UNO 1.0 FIRE'!R2</f>
        <v>915</v>
      </c>
      <c r="G4" s="10" t="n">
        <f aca="false">'NOVO UNO 1.0 FIRE'!S2</f>
        <v>676</v>
      </c>
      <c r="H4" s="10" t="n">
        <f aca="false">'NOVO UNO 1.0 FIRE'!T2</f>
        <v>2305</v>
      </c>
      <c r="I4" s="10" t="n">
        <f aca="false">'NOVO UNO 1.0 FIRE'!U2</f>
        <v>608</v>
      </c>
      <c r="J4" s="10" t="n">
        <f aca="false">'NOVO UNO 1.0 FIRE'!V2</f>
        <v>915</v>
      </c>
      <c r="K4" s="10" t="n">
        <f aca="false">'NOVO UNO 1.0 FIRE'!W2</f>
        <v>1098</v>
      </c>
      <c r="L4" s="11" t="n">
        <f aca="false">'NOVO UNO 1.0 FIRE'!X2</f>
        <v>847</v>
      </c>
      <c r="M4" s="12" t="n">
        <f aca="false">SUM(C4:L4)</f>
        <v>9883</v>
      </c>
      <c r="N4" s="12" t="n">
        <f aca="false">SUM(C4:H4)</f>
        <v>6415</v>
      </c>
      <c r="O4" s="12"/>
      <c r="R4" s="3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customFormat="false" ht="18.75" hidden="false" customHeight="true" outlineLevel="0" collapsed="false">
      <c r="A5" s="8"/>
      <c r="B5" s="13" t="str">
        <f aca="false">'NOVO UNO 1.0 FIREFLY'!A1</f>
        <v>UNO 1.0 FIREFLY</v>
      </c>
      <c r="C5" s="14" t="n">
        <f aca="false">'NOVO UNO 1.0 FIREFLY'!O2</f>
        <v>577</v>
      </c>
      <c r="D5" s="14" t="n">
        <f aca="false">'NOVO UNO 1.0 FIREFLY'!P2</f>
        <v>788</v>
      </c>
      <c r="E5" s="14" t="n">
        <f aca="false">'NOVO UNO 1.0 FIREFLY'!Q2</f>
        <v>611</v>
      </c>
      <c r="F5" s="14" t="n">
        <f aca="false">'NOVO UNO 1.0 FIREFLY'!R2</f>
        <v>1419</v>
      </c>
      <c r="G5" s="14" t="n">
        <f aca="false">'NOVO UNO 1.0 FIREFLY'!S2</f>
        <v>628</v>
      </c>
      <c r="H5" s="14" t="n">
        <f aca="false">'NOVO UNO 1.0 FIREFLY'!T2</f>
        <v>1171</v>
      </c>
      <c r="I5" s="14" t="n">
        <f aca="false">'NOVO UNO 1.0 FIREFLY'!U2</f>
        <v>577</v>
      </c>
      <c r="J5" s="14" t="n">
        <f aca="false">'NOVO UNO 1.0 FIREFLY'!V2</f>
        <v>1419</v>
      </c>
      <c r="K5" s="14" t="n">
        <f aca="false">'NOVO UNO 1.0 FIREFLY'!W2</f>
        <v>611</v>
      </c>
      <c r="L5" s="15" t="n">
        <f aca="false">'NOVO UNO 1.0 FIREFLY'!X2</f>
        <v>840</v>
      </c>
      <c r="M5" s="12" t="n">
        <f aca="false">SUM(C5:L5)</f>
        <v>8641</v>
      </c>
      <c r="N5" s="12" t="n">
        <f aca="false">SUM(C5:H5)</f>
        <v>5194</v>
      </c>
      <c r="O5" s="12"/>
      <c r="R5" s="3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customFormat="false" ht="18.75" hidden="false" customHeight="false" outlineLevel="0" collapsed="false">
      <c r="A6" s="8"/>
      <c r="B6" s="9" t="str">
        <f aca="false">'NOVO UNO 1.3 FIREFLY'!A1</f>
        <v>UNO 1.3 FIREFLY</v>
      </c>
      <c r="C6" s="10" t="n">
        <f aca="false">'NOVO UNO 1.3 FIREFLY'!O2</f>
        <v>644</v>
      </c>
      <c r="D6" s="10" t="n">
        <f aca="false">'NOVO UNO 1.3 FIREFLY'!P2</f>
        <v>855</v>
      </c>
      <c r="E6" s="10" t="n">
        <f aca="false">'NOVO UNO 1.3 FIREFLY'!Q2</f>
        <v>678</v>
      </c>
      <c r="F6" s="10" t="n">
        <f aca="false">'NOVO UNO 1.3 FIREFLY'!R2</f>
        <v>1661</v>
      </c>
      <c r="G6" s="10" t="n">
        <f aca="false">'NOVO UNO 1.3 FIREFLY'!S2</f>
        <v>695</v>
      </c>
      <c r="H6" s="10" t="n">
        <f aca="false">'NOVO UNO 1.3 FIREFLY'!T2</f>
        <v>1238</v>
      </c>
      <c r="I6" s="10" t="n">
        <f aca="false">'NOVO UNO 1.3 FIREFLY'!U2</f>
        <v>644</v>
      </c>
      <c r="J6" s="10" t="n">
        <f aca="false">'NOVO UNO 1.3 FIREFLY'!V2</f>
        <v>1661</v>
      </c>
      <c r="K6" s="10" t="n">
        <f aca="false">'NOVO UNO 1.3 FIREFLY'!W2</f>
        <v>678</v>
      </c>
      <c r="L6" s="11" t="n">
        <f aca="false">'NOVO UNO 1.3 FIREFLY'!X2</f>
        <v>906</v>
      </c>
      <c r="M6" s="12" t="n">
        <f aca="false">SUM(C6:L6)</f>
        <v>9660</v>
      </c>
      <c r="N6" s="12" t="n">
        <f aca="false">SUM(C6:H6)</f>
        <v>5771</v>
      </c>
      <c r="O6" s="12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customFormat="false" ht="18.75" hidden="false" customHeight="true" outlineLevel="0" collapsed="false">
      <c r="A7" s="8"/>
      <c r="B7" s="13" t="str">
        <f aca="false">'PALIO WEEKEND 1.4'!A1</f>
        <v>PALIO WEEKEND 1.4</v>
      </c>
      <c r="C7" s="14" t="n">
        <f aca="false">'PALIO WEEKEND 1.4'!O2</f>
        <v>600</v>
      </c>
      <c r="D7" s="14" t="n">
        <f aca="false">'PALIO WEEKEND 1.4'!P2</f>
        <v>751</v>
      </c>
      <c r="E7" s="14" t="n">
        <f aca="false">'PALIO WEEKEND 1.4'!Q2</f>
        <v>1090</v>
      </c>
      <c r="F7" s="14" t="n">
        <f aca="false">'PALIO WEEKEND 1.4'!R2</f>
        <v>870</v>
      </c>
      <c r="G7" s="14" t="n">
        <f aca="false">'PALIO WEEKEND 1.4'!S2</f>
        <v>635</v>
      </c>
      <c r="H7" s="14" t="n">
        <f aca="false">'PALIO WEEKEND 1.4'!T2</f>
        <v>2244</v>
      </c>
      <c r="I7" s="14" t="n">
        <f aca="false">'PALIO WEEKEND 1.4'!U2</f>
        <v>600</v>
      </c>
      <c r="J7" s="14" t="n">
        <f aca="false">'PALIO WEEKEND 1.4'!V2</f>
        <v>870</v>
      </c>
      <c r="K7" s="14" t="n">
        <f aca="false">'PALIO WEEKEND 1.4'!W2</f>
        <v>1090</v>
      </c>
      <c r="L7" s="15" t="n">
        <f aca="false">'PALIO WEEKEND 1.4'!X2</f>
        <v>819</v>
      </c>
      <c r="M7" s="12" t="n">
        <f aca="false">SUM(C7:L7)</f>
        <v>9569</v>
      </c>
      <c r="N7" s="12" t="n">
        <f aca="false">SUM(C7:H7)</f>
        <v>6190</v>
      </c>
      <c r="O7" s="12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customFormat="false" ht="18.75" hidden="false" customHeight="true" outlineLevel="0" collapsed="false">
      <c r="A8" s="8"/>
      <c r="B8" s="9" t="str">
        <f aca="false">'PALIO WEEKEND 1.8'!A1</f>
        <v>PALIO WEEKEND 1.8</v>
      </c>
      <c r="C8" s="10" t="n">
        <f aca="false">'PALIO WEEKEND 1.8'!O2</f>
        <v>794</v>
      </c>
      <c r="D8" s="10" t="n">
        <f aca="false">'PALIO WEEKEND 1.8'!P2</f>
        <v>989</v>
      </c>
      <c r="E8" s="10" t="n">
        <f aca="false">'PALIO WEEKEND 1.8'!Q2</f>
        <v>1080</v>
      </c>
      <c r="F8" s="10" t="n">
        <f aca="false">'PALIO WEEKEND 1.8'!R2</f>
        <v>1075</v>
      </c>
      <c r="G8" s="10" t="n">
        <f aca="false">'PALIO WEEKEND 1.8'!S2</f>
        <v>812</v>
      </c>
      <c r="H8" s="10" t="n">
        <f aca="false">'PALIO WEEKEND 1.8'!T2</f>
        <v>1847</v>
      </c>
      <c r="I8" s="10" t="n">
        <f aca="false">'PALIO WEEKEND 1.8'!U2</f>
        <v>794</v>
      </c>
      <c r="J8" s="10" t="n">
        <f aca="false">'PALIO WEEKEND 1.8'!V2</f>
        <v>1075</v>
      </c>
      <c r="K8" s="10" t="n">
        <f aca="false">'PALIO WEEKEND 1.8'!W2</f>
        <v>1080</v>
      </c>
      <c r="L8" s="11" t="n">
        <f aca="false">'PALIO WEEKEND 1.8'!X2</f>
        <v>1041</v>
      </c>
      <c r="M8" s="12" t="n">
        <f aca="false">SUM(C8:L8)</f>
        <v>10587</v>
      </c>
      <c r="N8" s="12" t="n">
        <f aca="false">SUM(C8:H8)</f>
        <v>6597</v>
      </c>
      <c r="O8" s="12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customFormat="false" ht="18.75" hidden="false" customHeight="true" outlineLevel="0" collapsed="false">
      <c r="A9" s="8"/>
      <c r="B9" s="13" t="str">
        <f aca="false">FIORINO!A15</f>
        <v>FIORINO 1.4 (21/22)</v>
      </c>
      <c r="C9" s="14" t="n">
        <f aca="false">FIORINO!T16</f>
        <v>532</v>
      </c>
      <c r="D9" s="14" t="n">
        <f aca="false">FIORINO!U16</f>
        <v>719</v>
      </c>
      <c r="E9" s="14" t="n">
        <f aca="false">FIORINO!V16</f>
        <v>1127</v>
      </c>
      <c r="F9" s="14" t="n">
        <f aca="false">FIORINO!W16</f>
        <v>925</v>
      </c>
      <c r="G9" s="14" t="n">
        <f aca="false">FIORINO!X16</f>
        <v>583</v>
      </c>
      <c r="H9" s="14" t="n">
        <f aca="false">FIORINO!Y16</f>
        <v>2266</v>
      </c>
      <c r="I9" s="14" t="n">
        <f aca="false">FIORINO!Z16</f>
        <v>532</v>
      </c>
      <c r="J9" s="14" t="n">
        <f aca="false">FIORINO!AA16</f>
        <v>771</v>
      </c>
      <c r="K9" s="14" t="n">
        <f aca="false">FIORINO!AB16</f>
        <v>1127</v>
      </c>
      <c r="L9" s="15" t="n">
        <f aca="false">FIORINO!AC16</f>
        <v>925</v>
      </c>
      <c r="M9" s="12" t="n">
        <f aca="false">SUM(C9:L9)</f>
        <v>9507</v>
      </c>
      <c r="N9" s="12" t="n">
        <f aca="false">SUM(C9:H9)</f>
        <v>6152</v>
      </c>
      <c r="O9" s="12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customFormat="false" ht="18.75" hidden="false" customHeight="true" outlineLevel="0" collapsed="false">
      <c r="A10" s="8"/>
      <c r="B10" s="9" t="str">
        <f aca="false">FIORINO!A1</f>
        <v>FIORINO 1.4 (21/21)</v>
      </c>
      <c r="C10" s="10" t="n">
        <f aca="false">FIORINO!T2</f>
        <v>600</v>
      </c>
      <c r="D10" s="10" t="n">
        <f aca="false">FIORINO!U2</f>
        <v>805</v>
      </c>
      <c r="E10" s="10" t="n">
        <f aca="false">FIORINO!V2</f>
        <v>1161</v>
      </c>
      <c r="F10" s="10" t="n">
        <f aca="false">FIORINO!W2</f>
        <v>908</v>
      </c>
      <c r="G10" s="10" t="n">
        <f aca="false">FIORINO!X2</f>
        <v>669</v>
      </c>
      <c r="H10" s="10" t="n">
        <f aca="false">FIORINO!Y2</f>
        <v>2369</v>
      </c>
      <c r="I10" s="10" t="n">
        <f aca="false">FIORINO!Z2</f>
        <v>600</v>
      </c>
      <c r="J10" s="10" t="n">
        <f aca="false">FIORINO!AA2</f>
        <v>908</v>
      </c>
      <c r="K10" s="10" t="n">
        <f aca="false">FIORINO!AB2</f>
        <v>1161</v>
      </c>
      <c r="L10" s="11" t="n">
        <f aca="false">FIORINO!AC2</f>
        <v>925</v>
      </c>
      <c r="M10" s="12" t="n">
        <f aca="false">SUM(C10:L10)</f>
        <v>10106</v>
      </c>
      <c r="N10" s="12" t="n">
        <f aca="false">SUM(C10:H10)</f>
        <v>6512</v>
      </c>
      <c r="O10" s="12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customFormat="false" ht="18.75" hidden="false" customHeight="true" outlineLevel="0" collapsed="false">
      <c r="A11" s="8"/>
      <c r="B11" s="13" t="str">
        <f aca="false">FIORINO!A30</f>
        <v>FIORINO 1.3</v>
      </c>
      <c r="C11" s="14" t="n">
        <f aca="false">FIORINO!T31</f>
        <v>630</v>
      </c>
      <c r="D11" s="14" t="n">
        <f aca="false">FIORINO!U31</f>
        <v>824</v>
      </c>
      <c r="E11" s="14" t="n">
        <f aca="false">FIORINO!V31</f>
        <v>647</v>
      </c>
      <c r="F11" s="14" t="n">
        <f aca="false">FIORINO!W31</f>
        <v>1647</v>
      </c>
      <c r="G11" s="14" t="n">
        <f aca="false">FIORINO!X31</f>
        <v>681</v>
      </c>
      <c r="H11" s="14" t="n">
        <f aca="false">FIORINO!Y31</f>
        <v>998</v>
      </c>
      <c r="I11" s="14" t="n">
        <f aca="false">FIORINO!Z31</f>
        <v>630</v>
      </c>
      <c r="J11" s="14" t="n">
        <f aca="false">FIORINO!AA31</f>
        <v>1647</v>
      </c>
      <c r="K11" s="14" t="n">
        <f aca="false">FIORINO!AB31</f>
        <v>647</v>
      </c>
      <c r="L11" s="15" t="n">
        <f aca="false">FIORINO!AC31</f>
        <v>875</v>
      </c>
      <c r="M11" s="12" t="n">
        <f aca="false">SUM(C11:L11)</f>
        <v>9226</v>
      </c>
      <c r="N11" s="12" t="n">
        <f aca="false">SUM(C11:H11)</f>
        <v>5427</v>
      </c>
      <c r="O11" s="12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customFormat="false" ht="18.75" hidden="false" customHeight="true" outlineLevel="0" collapsed="false">
      <c r="A12" s="8"/>
      <c r="B12" s="9" t="str">
        <f aca="false">'NOVA STRADA 1.3'!A1</f>
        <v>NOVA STRADA 1.3 AT</v>
      </c>
      <c r="C12" s="10" t="n">
        <f aca="false">'NOVA STRADA 1.3'!T2</f>
        <v>627</v>
      </c>
      <c r="D12" s="10" t="n">
        <f aca="false">'NOVA STRADA 1.3'!U2</f>
        <v>821</v>
      </c>
      <c r="E12" s="10" t="n">
        <f aca="false">'NOVA STRADA 1.3'!V2</f>
        <v>644</v>
      </c>
      <c r="F12" s="10" t="n">
        <f aca="false">'NOVA STRADA 1.3'!W2</f>
        <v>1644</v>
      </c>
      <c r="G12" s="10" t="n">
        <f aca="false">'NOVA STRADA 1.3'!X2</f>
        <v>678</v>
      </c>
      <c r="H12" s="10" t="n">
        <f aca="false">'NOVA STRADA 1.3'!Y2</f>
        <v>998</v>
      </c>
      <c r="I12" s="10" t="n">
        <f aca="false">'NOVA STRADA 1.3'!Z2</f>
        <v>627</v>
      </c>
      <c r="J12" s="10" t="n">
        <f aca="false">'NOVA STRADA 1.3'!AA2</f>
        <v>1644</v>
      </c>
      <c r="K12" s="10" t="n">
        <f aca="false">'NOVA STRADA 1.3'!AB2</f>
        <v>644</v>
      </c>
      <c r="L12" s="11" t="n">
        <f aca="false">'NOVA STRADA 1.3'!AC2</f>
        <v>872</v>
      </c>
      <c r="M12" s="12" t="n">
        <f aca="false">SUM(C12:L12)</f>
        <v>9199</v>
      </c>
      <c r="N12" s="12" t="n">
        <f aca="false">SUM(C12:H12)</f>
        <v>5412</v>
      </c>
      <c r="O12" s="12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customFormat="false" ht="18.75" hidden="false" customHeight="true" outlineLevel="0" collapsed="false">
      <c r="A13" s="8"/>
      <c r="B13" s="13" t="str">
        <f aca="false">'NOVA STRADA 1.4'!A1</f>
        <v>NOVA STRADA 1.4</v>
      </c>
      <c r="C13" s="14" t="n">
        <f aca="false">'NOVA STRADA 1.4'!T2</f>
        <v>532</v>
      </c>
      <c r="D13" s="14" t="n">
        <f aca="false">'NOVA STRADA 1.4'!U2</f>
        <v>719</v>
      </c>
      <c r="E13" s="14" t="n">
        <f aca="false">'NOVA STRADA 1.4'!V2</f>
        <v>1127</v>
      </c>
      <c r="F13" s="14" t="n">
        <f aca="false">'NOVA STRADA 1.4'!W2</f>
        <v>925</v>
      </c>
      <c r="G13" s="14" t="n">
        <f aca="false">'NOVA STRADA 1.4'!X2</f>
        <v>583</v>
      </c>
      <c r="H13" s="14" t="n">
        <f aca="false">'NOVA STRADA 1.4'!Y2</f>
        <v>2361</v>
      </c>
      <c r="I13" s="14" t="n">
        <f aca="false">'NOVA STRADA 1.4'!Z2</f>
        <v>532</v>
      </c>
      <c r="J13" s="14" t="n">
        <f aca="false">'NOVA STRADA 1.4'!AA2</f>
        <v>771</v>
      </c>
      <c r="K13" s="14" t="n">
        <f aca="false">'NOVA STRADA 1.4'!AB2</f>
        <v>1127</v>
      </c>
      <c r="L13" s="15" t="n">
        <f aca="false">'NOVA STRADA 1.4'!AC2</f>
        <v>925</v>
      </c>
      <c r="M13" s="12" t="n">
        <f aca="false">SUM(C13:L13)</f>
        <v>9602</v>
      </c>
      <c r="N13" s="12" t="n">
        <f aca="false">SUM(C13:H13)</f>
        <v>6247</v>
      </c>
      <c r="O13" s="12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customFormat="false" ht="18.75" hidden="false" customHeight="true" outlineLevel="0" collapsed="false">
      <c r="A14" s="8"/>
      <c r="B14" s="9" t="str">
        <f aca="false">'NOVA STRADA 1.0T'!A1</f>
        <v>NOVA STRADA 1.0T</v>
      </c>
      <c r="C14" s="10" t="n">
        <f aca="false">'NOVA STRADA 1.0T'!T2</f>
        <v>746</v>
      </c>
      <c r="D14" s="10" t="n">
        <f aca="false">'NOVA STRADA 1.0T'!U2</f>
        <v>764</v>
      </c>
      <c r="E14" s="10" t="n">
        <f aca="false">'NOVA STRADA 1.0T'!V2</f>
        <v>927</v>
      </c>
      <c r="F14" s="10" t="n">
        <f aca="false">'NOVA STRADA 1.0T'!W2</f>
        <v>764</v>
      </c>
      <c r="G14" s="10" t="n">
        <f aca="false">'NOVA STRADA 1.0T'!X2</f>
        <v>781</v>
      </c>
      <c r="H14" s="10" t="n">
        <f aca="false">'NOVA STRADA 1.0T'!Y2</f>
        <v>1460</v>
      </c>
      <c r="I14" s="10" t="n">
        <f aca="false">'NOVA STRADA 1.0T'!Z2</f>
        <v>746</v>
      </c>
      <c r="J14" s="10" t="n">
        <f aca="false">'NOVA STRADA 1.0T'!AA2</f>
        <v>764</v>
      </c>
      <c r="K14" s="10" t="n">
        <f aca="false">'NOVA STRADA 1.0T'!AB2</f>
        <v>927</v>
      </c>
      <c r="L14" s="11" t="n">
        <f aca="false">'NOVA STRADA 1.0T'!AC2</f>
        <v>798</v>
      </c>
      <c r="M14" s="12" t="n">
        <f aca="false">SUM(C14:L14)</f>
        <v>8677</v>
      </c>
      <c r="N14" s="12" t="n">
        <f aca="false">SUM(C14:H14)</f>
        <v>5442</v>
      </c>
      <c r="O14" s="12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customFormat="false" ht="18.75" hidden="false" customHeight="true" outlineLevel="0" collapsed="false">
      <c r="A15" s="8"/>
      <c r="B15" s="13" t="str">
        <f aca="false">'ARGO 1.0'!A1</f>
        <v>ARGO 1.0</v>
      </c>
      <c r="C15" s="14" t="n">
        <f aca="false">'ARGO 1.0'!T2</f>
        <v>577</v>
      </c>
      <c r="D15" s="14" t="n">
        <f aca="false">'ARGO 1.0'!U2</f>
        <v>823</v>
      </c>
      <c r="E15" s="14" t="n">
        <f aca="false">'ARGO 1.0'!V2</f>
        <v>594</v>
      </c>
      <c r="F15" s="14" t="n">
        <f aca="false">'ARGO 1.0'!W2</f>
        <v>1675</v>
      </c>
      <c r="G15" s="14" t="n">
        <f aca="false">'ARGO 1.0'!X2</f>
        <v>628</v>
      </c>
      <c r="H15" s="14" t="n">
        <f aca="false">'ARGO 1.0'!Y2</f>
        <v>1051</v>
      </c>
      <c r="I15" s="14" t="n">
        <f aca="false">'ARGO 1.0'!Z2</f>
        <v>577</v>
      </c>
      <c r="J15" s="14" t="n">
        <f aca="false">'ARGO 1.0'!AA2</f>
        <v>1675</v>
      </c>
      <c r="K15" s="14" t="n">
        <f aca="false">'ARGO 1.0'!AB2</f>
        <v>594</v>
      </c>
      <c r="L15" s="15" t="n">
        <f aca="false">'ARGO 1.0'!AC2</f>
        <v>874</v>
      </c>
      <c r="M15" s="12" t="n">
        <f aca="false">SUM(C15:L15)</f>
        <v>9068</v>
      </c>
      <c r="N15" s="12" t="n">
        <f aca="false">SUM(C15:H15)</f>
        <v>5348</v>
      </c>
      <c r="O15" s="12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customFormat="false" ht="18.75" hidden="false" customHeight="true" outlineLevel="0" collapsed="false">
      <c r="A16" s="8"/>
      <c r="B16" s="9" t="str">
        <f aca="false">'ARGO 1.3'!A1</f>
        <v>ARGO 1.3</v>
      </c>
      <c r="C16" s="10" t="n">
        <f aca="false">'ARGO 1.3'!T2</f>
        <v>644</v>
      </c>
      <c r="D16" s="10" t="n">
        <f aca="false">'ARGO 1.3'!U2</f>
        <v>889</v>
      </c>
      <c r="E16" s="10" t="n">
        <f aca="false">'ARGO 1.3'!V2</f>
        <v>661</v>
      </c>
      <c r="F16" s="10" t="n">
        <f aca="false">'ARGO 1.3'!W2</f>
        <v>1918</v>
      </c>
      <c r="G16" s="10" t="n">
        <f aca="false">'ARGO 1.3'!X2</f>
        <v>695</v>
      </c>
      <c r="H16" s="10" t="n">
        <f aca="false">'ARGO 1.3'!Y2</f>
        <v>1118</v>
      </c>
      <c r="I16" s="10" t="n">
        <f aca="false">'ARGO 1.3'!Z2</f>
        <v>644</v>
      </c>
      <c r="J16" s="10" t="n">
        <f aca="false">'ARGO 1.3'!AA2</f>
        <v>1918</v>
      </c>
      <c r="K16" s="10" t="n">
        <f aca="false">'ARGO 1.3'!AB2</f>
        <v>661</v>
      </c>
      <c r="L16" s="11" t="n">
        <f aca="false">'ARGO 1.3'!AC2</f>
        <v>940</v>
      </c>
      <c r="M16" s="12" t="n">
        <f aca="false">SUM(C16:L16)</f>
        <v>10088</v>
      </c>
      <c r="N16" s="12" t="n">
        <f aca="false">SUM(C16:H16)</f>
        <v>5925</v>
      </c>
      <c r="O16" s="12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customFormat="false" ht="18.75" hidden="false" customHeight="true" outlineLevel="0" collapsed="false">
      <c r="A17" s="8"/>
      <c r="B17" s="13" t="str">
        <f aca="false">'ARGO 1.8'!A1</f>
        <v>ARGO 1.8</v>
      </c>
      <c r="C17" s="14" t="n">
        <f aca="false">'ARGO 1.8'!O2</f>
        <v>688</v>
      </c>
      <c r="D17" s="14" t="n">
        <f aca="false">'ARGO 1.8'!P2</f>
        <v>928</v>
      </c>
      <c r="E17" s="14" t="n">
        <f aca="false">'ARGO 1.8'!Q2</f>
        <v>705</v>
      </c>
      <c r="F17" s="14" t="n">
        <f aca="false">'ARGO 1.8'!R2</f>
        <v>1082</v>
      </c>
      <c r="G17" s="14" t="n">
        <f aca="false">'ARGO 1.8'!S2</f>
        <v>739</v>
      </c>
      <c r="H17" s="14" t="n">
        <f aca="false">'ARGO 1.8'!T2</f>
        <v>2016</v>
      </c>
      <c r="I17" s="14" t="n">
        <f aca="false">'ARGO 1.8'!U2</f>
        <v>705</v>
      </c>
      <c r="J17" s="14" t="n">
        <f aca="false">'ARGO 1.8'!V2</f>
        <v>1082</v>
      </c>
      <c r="K17" s="14" t="n">
        <f aca="false">'ARGO 1.8'!W2</f>
        <v>705</v>
      </c>
      <c r="L17" s="15" t="n">
        <f aca="false">'ARGO 1.8'!X2</f>
        <v>980</v>
      </c>
      <c r="M17" s="12" t="n">
        <f aca="false">SUM(C17:L17)</f>
        <v>9630</v>
      </c>
      <c r="N17" s="12" t="n">
        <f aca="false">SUM(C17:H17)</f>
        <v>6158</v>
      </c>
      <c r="O17" s="12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customFormat="false" ht="18.75" hidden="false" customHeight="true" outlineLevel="0" collapsed="false">
      <c r="A18" s="8"/>
      <c r="B18" s="9" t="str">
        <f aca="false">'GRAND SIENA 1.0'!A1</f>
        <v>GRAND SIENA 1.0</v>
      </c>
      <c r="C18" s="10" t="n">
        <f aca="false">'GRAND SIENA 1.0'!O2</f>
        <v>600</v>
      </c>
      <c r="D18" s="10" t="n">
        <f aca="false">'GRAND SIENA 1.0'!P2</f>
        <v>788</v>
      </c>
      <c r="E18" s="10" t="n">
        <f aca="false">'GRAND SIENA 1.0'!Q2</f>
        <v>1193</v>
      </c>
      <c r="F18" s="10" t="n">
        <f aca="false">'GRAND SIENA 1.0'!R2</f>
        <v>908</v>
      </c>
      <c r="G18" s="10" t="n">
        <f aca="false">'GRAND SIENA 1.0'!S2</f>
        <v>652</v>
      </c>
      <c r="H18" s="10" t="n">
        <f aca="false">'GRAND SIENA 1.0'!T2</f>
        <v>2380</v>
      </c>
      <c r="I18" s="10" t="n">
        <f aca="false">'GRAND SIENA 1.0'!U2</f>
        <v>600</v>
      </c>
      <c r="J18" s="10" t="n">
        <f aca="false">'GRAND SIENA 1.0'!V2</f>
        <v>908</v>
      </c>
      <c r="K18" s="10" t="n">
        <f aca="false">'GRAND SIENA 1.0'!W2</f>
        <v>1193</v>
      </c>
      <c r="L18" s="11" t="n">
        <f aca="false">'GRAND SIENA 1.0'!X2</f>
        <v>856</v>
      </c>
      <c r="M18" s="12" t="n">
        <f aca="false">SUM(C18:L18)</f>
        <v>10078</v>
      </c>
      <c r="N18" s="12" t="n">
        <f aca="false">SUM(C18:H18)</f>
        <v>6521</v>
      </c>
      <c r="O18" s="12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customFormat="false" ht="18.75" hidden="false" customHeight="true" outlineLevel="0" collapsed="false">
      <c r="A19" s="8"/>
      <c r="B19" s="13" t="str">
        <f aca="false">'GRAND SIENA 1.4'!A1</f>
        <v>GRAND SIENA 1.4</v>
      </c>
      <c r="C19" s="14" t="n">
        <f aca="false">'GRAND SIENA 1.4'!O2</f>
        <v>600</v>
      </c>
      <c r="D19" s="14" t="n">
        <f aca="false">'GRAND SIENA 1.4'!P2</f>
        <v>788</v>
      </c>
      <c r="E19" s="14" t="n">
        <f aca="false">'GRAND SIENA 1.4'!Q2</f>
        <v>1161</v>
      </c>
      <c r="F19" s="14" t="n">
        <f aca="false">'GRAND SIENA 1.4'!R2</f>
        <v>908</v>
      </c>
      <c r="G19" s="14" t="n">
        <f aca="false">'GRAND SIENA 1.4'!S2</f>
        <v>652</v>
      </c>
      <c r="H19" s="14" t="n">
        <f aca="false">'GRAND SIENA 1.4'!T2</f>
        <v>2377</v>
      </c>
      <c r="I19" s="14" t="n">
        <f aca="false">'GRAND SIENA 1.4'!U2</f>
        <v>600</v>
      </c>
      <c r="J19" s="14" t="n">
        <f aca="false">'GRAND SIENA 1.4'!V2</f>
        <v>908</v>
      </c>
      <c r="K19" s="14" t="n">
        <f aca="false">'GRAND SIENA 1.4'!W2</f>
        <v>1161</v>
      </c>
      <c r="L19" s="15" t="n">
        <f aca="false">'GRAND SIENA 1.4'!X2</f>
        <v>856</v>
      </c>
      <c r="M19" s="12" t="n">
        <f aca="false">SUM(C19:L19)</f>
        <v>10011</v>
      </c>
      <c r="N19" s="12" t="n">
        <f aca="false">SUM(C19:H19)</f>
        <v>6486</v>
      </c>
      <c r="O19" s="12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customFormat="false" ht="18.75" hidden="false" customHeight="true" outlineLevel="0" collapsed="false">
      <c r="A20" s="8"/>
      <c r="B20" s="9" t="str">
        <f aca="false">'MOBI FIRE'!A1</f>
        <v>MOBI 1.0 FIRE</v>
      </c>
      <c r="C20" s="10" t="n">
        <f aca="false">'MOBI FIRE'!T2</f>
        <v>583</v>
      </c>
      <c r="D20" s="10" t="n">
        <f aca="false">'MOBI FIRE'!U2</f>
        <v>788</v>
      </c>
      <c r="E20" s="10" t="n">
        <f aca="false">'MOBI FIRE'!V2</f>
        <v>1176</v>
      </c>
      <c r="F20" s="10" t="n">
        <f aca="false">'MOBI FIRE'!W2</f>
        <v>856</v>
      </c>
      <c r="G20" s="10" t="n">
        <f aca="false">'MOBI FIRE'!X2</f>
        <v>789</v>
      </c>
      <c r="H20" s="10" t="n">
        <f aca="false">'MOBI FIRE'!Y2</f>
        <v>2479</v>
      </c>
      <c r="I20" s="10" t="n">
        <f aca="false">'MOBI FIRE'!Z2</f>
        <v>583</v>
      </c>
      <c r="J20" s="10" t="n">
        <f aca="false">'MOBI FIRE'!AA2</f>
        <v>856</v>
      </c>
      <c r="K20" s="10" t="n">
        <f aca="false">'MOBI FIRE'!AB2</f>
        <v>1176</v>
      </c>
      <c r="L20" s="11" t="n">
        <f aca="false">'MOBI FIRE'!AC2</f>
        <v>839</v>
      </c>
      <c r="M20" s="12" t="n">
        <f aca="false">SUM(C20:L20)</f>
        <v>10125</v>
      </c>
      <c r="N20" s="12" t="n">
        <f aca="false">SUM(C20:H20)</f>
        <v>6671</v>
      </c>
      <c r="O20" s="12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customFormat="false" ht="18.75" hidden="false" customHeight="true" outlineLevel="0" collapsed="false">
      <c r="A21" s="8"/>
      <c r="B21" s="13" t="str">
        <f aca="false">'MOBI FIREFLY'!A1</f>
        <v>MOBI FIREFLY</v>
      </c>
      <c r="C21" s="14" t="n">
        <f aca="false">'MOBI FIREFLY'!T2</f>
        <v>667</v>
      </c>
      <c r="D21" s="14" t="n">
        <f aca="false">'MOBI FIREFLY'!U2</f>
        <v>788</v>
      </c>
      <c r="E21" s="14" t="n">
        <f aca="false">'MOBI FIREFLY'!V2</f>
        <v>701</v>
      </c>
      <c r="F21" s="14" t="n">
        <f aca="false">'MOBI FIREFLY'!W2</f>
        <v>1419</v>
      </c>
      <c r="G21" s="14" t="n">
        <f aca="false">'MOBI FIREFLY'!X2</f>
        <v>718</v>
      </c>
      <c r="H21" s="14" t="n">
        <f aca="false">'MOBI FIREFLY'!Y2</f>
        <v>1171</v>
      </c>
      <c r="I21" s="14" t="n">
        <f aca="false">'MOBI FIREFLY'!Z2</f>
        <v>667</v>
      </c>
      <c r="J21" s="14" t="n">
        <f aca="false">'MOBI FIREFLY'!AA2</f>
        <v>1419</v>
      </c>
      <c r="K21" s="14" t="n">
        <f aca="false">'MOBI FIREFLY'!AB2</f>
        <v>701</v>
      </c>
      <c r="L21" s="15" t="n">
        <f aca="false">'MOBI FIREFLY'!AC2</f>
        <v>840</v>
      </c>
      <c r="M21" s="12" t="n">
        <f aca="false">SUM(C21:L21)</f>
        <v>9091</v>
      </c>
      <c r="N21" s="12" t="n">
        <f aca="false">SUM(C21:H21)</f>
        <v>5464</v>
      </c>
      <c r="O21" s="12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customFormat="false" ht="18.75" hidden="false" customHeight="true" outlineLevel="0" collapsed="false">
      <c r="A22" s="8"/>
      <c r="B22" s="9" t="str">
        <f aca="false">DOBLO!A1</f>
        <v>DOBLO 1.8</v>
      </c>
      <c r="C22" s="10" t="n">
        <f aca="false">DOBLO!O2</f>
        <v>367</v>
      </c>
      <c r="D22" s="10" t="n">
        <f aca="false">DOBLO!P2</f>
        <v>989</v>
      </c>
      <c r="E22" s="10" t="n">
        <f aca="false">DOBLO!Q2</f>
        <v>1080</v>
      </c>
      <c r="F22" s="10" t="n">
        <f aca="false">DOBLO!R2</f>
        <v>1075</v>
      </c>
      <c r="G22" s="10" t="n">
        <f aca="false">DOBLO!S2</f>
        <v>829</v>
      </c>
      <c r="H22" s="10" t="n">
        <f aca="false">DOBLO!T2</f>
        <v>1847</v>
      </c>
      <c r="I22" s="10" t="n">
        <f aca="false">DOBLO!U2</f>
        <v>794</v>
      </c>
      <c r="J22" s="10" t="n">
        <f aca="false">DOBLO!V2</f>
        <v>1075</v>
      </c>
      <c r="K22" s="10" t="n">
        <f aca="false">DOBLO!W2</f>
        <v>1080</v>
      </c>
      <c r="L22" s="11" t="n">
        <f aca="false">DOBLO!X2</f>
        <v>1041</v>
      </c>
      <c r="M22" s="12" t="n">
        <f aca="false">SUM(C22:L22)</f>
        <v>10177</v>
      </c>
      <c r="N22" s="12" t="n">
        <f aca="false">SUM(C22:H22)</f>
        <v>6187</v>
      </c>
      <c r="O22" s="12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customFormat="false" ht="18.75" hidden="false" customHeight="true" outlineLevel="0" collapsed="false">
      <c r="A23" s="8"/>
      <c r="B23" s="13" t="str">
        <f aca="false">'CRONOS 1.0'!A1</f>
        <v>CRONOS 1.0 até MY26</v>
      </c>
      <c r="C23" s="14" t="n">
        <f aca="false">'CRONOS 1.0'!T2</f>
        <v>577</v>
      </c>
      <c r="D23" s="14" t="n">
        <f aca="false">'CRONOS 1.0'!U2</f>
        <v>823</v>
      </c>
      <c r="E23" s="14" t="n">
        <f aca="false">'CRONOS 1.0'!V2</f>
        <v>594</v>
      </c>
      <c r="F23" s="14" t="n">
        <f aca="false">'CRONOS 1.0'!W2</f>
        <v>1675</v>
      </c>
      <c r="G23" s="14" t="n">
        <f aca="false">'CRONOS 1.0'!X2</f>
        <v>628</v>
      </c>
      <c r="H23" s="14" t="n">
        <f aca="false">'CRONOS 1.0'!Y2</f>
        <v>1051</v>
      </c>
      <c r="I23" s="14" t="n">
        <f aca="false">'CRONOS 1.0'!Z2</f>
        <v>577</v>
      </c>
      <c r="J23" s="14" t="n">
        <f aca="false">'CRONOS 1.0'!AA2</f>
        <v>1675</v>
      </c>
      <c r="K23" s="14" t="n">
        <f aca="false">'CRONOS 1.0'!AB2</f>
        <v>594</v>
      </c>
      <c r="L23" s="15" t="n">
        <f aca="false">'CRONOS 1.0'!AC2</f>
        <v>874</v>
      </c>
      <c r="M23" s="12" t="n">
        <f aca="false">SUM(C23:L23)</f>
        <v>9068</v>
      </c>
      <c r="N23" s="12" t="n">
        <f aca="false">SUM(C23:H23)</f>
        <v>5348</v>
      </c>
      <c r="O23" s="12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customFormat="false" ht="18.75" hidden="false" customHeight="true" outlineLevel="0" collapsed="false">
      <c r="A24" s="8"/>
      <c r="B24" s="9" t="str">
        <f aca="false">'CRONOS 1.3'!A1</f>
        <v>CRONOS 1.3 até MY26</v>
      </c>
      <c r="C24" s="10" t="n">
        <f aca="false">'CRONOS 1.3'!T2</f>
        <v>644</v>
      </c>
      <c r="D24" s="10" t="n">
        <f aca="false">'CRONOS 1.3'!U2</f>
        <v>889</v>
      </c>
      <c r="E24" s="10" t="n">
        <f aca="false">'CRONOS 1.3'!V2</f>
        <v>661</v>
      </c>
      <c r="F24" s="10" t="n">
        <f aca="false">'CRONOS 1.3'!W2</f>
        <v>1918</v>
      </c>
      <c r="G24" s="10" t="n">
        <f aca="false">'CRONOS 1.3'!X2</f>
        <v>695</v>
      </c>
      <c r="H24" s="10" t="n">
        <f aca="false">'CRONOS 1.3'!Y2</f>
        <v>1118</v>
      </c>
      <c r="I24" s="10" t="n">
        <f aca="false">'CRONOS 1.3'!Z2</f>
        <v>644</v>
      </c>
      <c r="J24" s="10" t="n">
        <f aca="false">'CRONOS 1.3'!AA2</f>
        <v>1918</v>
      </c>
      <c r="K24" s="10" t="n">
        <f aca="false">'CRONOS 1.3'!AB2</f>
        <v>661</v>
      </c>
      <c r="L24" s="11" t="n">
        <f aca="false">'CRONOS 1.3'!AC2</f>
        <v>940</v>
      </c>
      <c r="M24" s="12" t="n">
        <f aca="false">SUM(C24:L24)</f>
        <v>10088</v>
      </c>
      <c r="N24" s="12" t="n">
        <f aca="false">SUM(C24:H24)</f>
        <v>5925</v>
      </c>
      <c r="O24" s="12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customFormat="false" ht="18.75" hidden="false" customHeight="true" outlineLevel="0" collapsed="false">
      <c r="A25" s="8"/>
      <c r="B25" s="13" t="str">
        <f aca="false">'CRONOS 1.8'!A1</f>
        <v>CRONOS 1.8</v>
      </c>
      <c r="C25" s="14" t="n">
        <f aca="false">'CRONOS 1.8'!T2</f>
        <v>688</v>
      </c>
      <c r="D25" s="14" t="n">
        <f aca="false">'CRONOS 1.8'!U2</f>
        <v>928</v>
      </c>
      <c r="E25" s="14" t="n">
        <f aca="false">'CRONOS 1.8'!V2</f>
        <v>705</v>
      </c>
      <c r="F25" s="14" t="n">
        <f aca="false">'CRONOS 1.8'!W2</f>
        <v>1082</v>
      </c>
      <c r="G25" s="14" t="n">
        <f aca="false">'CRONOS 1.8'!X2</f>
        <v>739</v>
      </c>
      <c r="H25" s="14" t="n">
        <f aca="false">'CRONOS 1.8'!Y2</f>
        <v>2016</v>
      </c>
      <c r="I25" s="14" t="n">
        <f aca="false">'CRONOS 1.8'!Z2</f>
        <v>705</v>
      </c>
      <c r="J25" s="14" t="n">
        <f aca="false">'CRONOS 1.8'!AA2</f>
        <v>1082</v>
      </c>
      <c r="K25" s="14" t="n">
        <f aca="false">'CRONOS 1.8'!AB2</f>
        <v>705</v>
      </c>
      <c r="L25" s="15" t="n">
        <f aca="false">'CRONOS 1.8'!AC2</f>
        <v>980</v>
      </c>
      <c r="M25" s="12" t="n">
        <f aca="false">SUM(C25:L25)</f>
        <v>9630</v>
      </c>
      <c r="N25" s="12" t="n">
        <f aca="false">SUM(C25:H25)</f>
        <v>6158</v>
      </c>
      <c r="O25" s="12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customFormat="false" ht="18.75" hidden="false" customHeight="false" outlineLevel="0" collapsed="false">
      <c r="A26" s="8"/>
      <c r="B26" s="9" t="str">
        <f aca="false">'PULSE 1.0T'!A1</f>
        <v>PULSE 1.0T AT</v>
      </c>
      <c r="C26" s="10" t="n">
        <f aca="false">'PULSE 1.0T'!T2</f>
        <v>746</v>
      </c>
      <c r="D26" s="10" t="n">
        <f aca="false">'PULSE 1.0T'!U2</f>
        <v>764</v>
      </c>
      <c r="E26" s="10" t="n">
        <f aca="false">'PULSE 1.0T'!V2</f>
        <v>927</v>
      </c>
      <c r="F26" s="10" t="n">
        <f aca="false">'PULSE 1.0T'!W2</f>
        <v>764</v>
      </c>
      <c r="G26" s="10" t="n">
        <f aca="false">'PULSE 1.0T'!X2</f>
        <v>781</v>
      </c>
      <c r="H26" s="10" t="n">
        <f aca="false">'PULSE 1.0T'!Y2</f>
        <v>1460</v>
      </c>
      <c r="I26" s="10" t="n">
        <f aca="false">'PULSE 1.0T'!Z2</f>
        <v>746</v>
      </c>
      <c r="J26" s="10" t="n">
        <f aca="false">'PULSE 1.0T'!AA2</f>
        <v>764</v>
      </c>
      <c r="K26" s="10" t="n">
        <f aca="false">'PULSE 1.0T'!AB2</f>
        <v>927</v>
      </c>
      <c r="L26" s="11" t="n">
        <f aca="false">'PULSE 1.0T'!AC2</f>
        <v>798</v>
      </c>
      <c r="M26" s="12" t="n">
        <f aca="false">SUM(C26:L26)</f>
        <v>8677</v>
      </c>
      <c r="N26" s="12" t="n">
        <f aca="false">SUM(C26:H26)</f>
        <v>5442</v>
      </c>
      <c r="O26" s="12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customFormat="false" ht="18.75" hidden="false" customHeight="false" outlineLevel="0" collapsed="false">
      <c r="A27" s="8"/>
      <c r="B27" s="13" t="str">
        <f aca="false">'PULSE 1.3'!A1</f>
        <v>PULSE 1.3 AT</v>
      </c>
      <c r="C27" s="14" t="n">
        <f aca="false">'PULSE 1.3'!T2</f>
        <v>627</v>
      </c>
      <c r="D27" s="14" t="n">
        <f aca="false">'PULSE 1.3'!U2</f>
        <v>714</v>
      </c>
      <c r="E27" s="14" t="n">
        <f aca="false">'PULSE 1.3'!V2</f>
        <v>716</v>
      </c>
      <c r="F27" s="14" t="n">
        <f aca="false">'PULSE 1.3'!W2</f>
        <v>1520</v>
      </c>
      <c r="G27" s="14" t="n">
        <f aca="false">'PULSE 1.3'!X2</f>
        <v>678</v>
      </c>
      <c r="H27" s="14" t="n">
        <f aca="false">'PULSE 1.3'!Y2</f>
        <v>947</v>
      </c>
      <c r="I27" s="14" t="n">
        <f aca="false">'PULSE 1.3'!Z2</f>
        <v>627</v>
      </c>
      <c r="J27" s="14" t="n">
        <f aca="false">'PULSE 1.3'!AA2</f>
        <v>1520</v>
      </c>
      <c r="K27" s="14" t="n">
        <f aca="false">'PULSE 1.3'!AB2</f>
        <v>716</v>
      </c>
      <c r="L27" s="15" t="n">
        <f aca="false">'PULSE 1.3'!AC2</f>
        <v>765</v>
      </c>
      <c r="M27" s="12" t="n">
        <f aca="false">SUM(C27:L27)</f>
        <v>8830</v>
      </c>
      <c r="N27" s="12" t="n">
        <f aca="false">SUM(C27:H27)</f>
        <v>5202</v>
      </c>
      <c r="O27" s="12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customFormat="false" ht="18.75" hidden="false" customHeight="false" outlineLevel="0" collapsed="false">
      <c r="A28" s="8"/>
      <c r="B28" s="9" t="str">
        <f aca="false">'PULSE ABARTH'!A1</f>
        <v>PULSE ABARTH 1.3T</v>
      </c>
      <c r="C28" s="10" t="n">
        <f aca="false">'PULSE ABARTH'!O2</f>
        <v>861</v>
      </c>
      <c r="D28" s="10" t="n">
        <f aca="false">'PULSE ABARTH'!P2</f>
        <v>992</v>
      </c>
      <c r="E28" s="10" t="n">
        <f aca="false">'PULSE ABARTH'!Q2</f>
        <v>861</v>
      </c>
      <c r="F28" s="10" t="n">
        <f aca="false">'PULSE ABARTH'!R2</f>
        <v>1009</v>
      </c>
      <c r="G28" s="10" t="n">
        <f aca="false">'PULSE ABARTH'!S2</f>
        <v>895</v>
      </c>
      <c r="H28" s="10" t="n">
        <f aca="false">'PULSE ABARTH'!T2</f>
        <v>1697</v>
      </c>
      <c r="I28" s="10" t="n">
        <f aca="false">'PULSE ABARTH'!U2</f>
        <v>861</v>
      </c>
      <c r="J28" s="10" t="n">
        <f aca="false">'PULSE ABARTH'!V2</f>
        <v>1009</v>
      </c>
      <c r="K28" s="10" t="n">
        <f aca="false">'PULSE ABARTH'!W2</f>
        <v>861</v>
      </c>
      <c r="L28" s="11" t="n">
        <f aca="false">'PULSE ABARTH'!X2</f>
        <v>1026</v>
      </c>
      <c r="M28" s="12" t="n">
        <f aca="false">SUM(C28:L28)</f>
        <v>10072</v>
      </c>
      <c r="N28" s="12" t="n">
        <f aca="false">SUM(C28:H28)</f>
        <v>6315</v>
      </c>
      <c r="O28" s="1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customFormat="false" ht="18.75" hidden="false" customHeight="false" outlineLevel="0" collapsed="false">
      <c r="A29" s="8"/>
      <c r="B29" s="13" t="str">
        <f aca="false">'FASTBACK 1.0T'!A1</f>
        <v>FASTBACK 1.0T</v>
      </c>
      <c r="C29" s="14" t="n">
        <f aca="false">'FASTBACK 1.0T'!T2</f>
        <v>755</v>
      </c>
      <c r="D29" s="14" t="n">
        <f aca="false">'FASTBACK 1.0T'!U2</f>
        <v>772</v>
      </c>
      <c r="E29" s="14" t="n">
        <f aca="false">'FASTBACK 1.0T'!V2</f>
        <v>935</v>
      </c>
      <c r="F29" s="14" t="n">
        <f aca="false">'FASTBACK 1.0T'!W2</f>
        <v>772</v>
      </c>
      <c r="G29" s="14" t="n">
        <f aca="false">'FASTBACK 1.0T'!X2</f>
        <v>789</v>
      </c>
      <c r="H29" s="14" t="n">
        <f aca="false">'FASTBACK 1.0T'!Y2</f>
        <v>1469</v>
      </c>
      <c r="I29" s="14" t="n">
        <f aca="false">'FASTBACK 1.0T'!Z2</f>
        <v>755</v>
      </c>
      <c r="J29" s="14" t="n">
        <f aca="false">'FASTBACK 1.0T'!AA2</f>
        <v>772</v>
      </c>
      <c r="K29" s="14" t="n">
        <f aca="false">'FASTBACK 1.0T'!AB2</f>
        <v>935</v>
      </c>
      <c r="L29" s="15" t="n">
        <f aca="false">'FASTBACK 1.0T'!AC2</f>
        <v>807</v>
      </c>
      <c r="M29" s="12" t="n">
        <f aca="false">SUM(C29:L29)</f>
        <v>8761</v>
      </c>
      <c r="N29" s="12" t="n">
        <f aca="false">SUM(C29:H29)</f>
        <v>5492</v>
      </c>
      <c r="O29" s="12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customFormat="false" ht="18.75" hidden="false" customHeight="false" outlineLevel="0" collapsed="false">
      <c r="A30" s="8"/>
      <c r="B30" s="9" t="str">
        <f aca="false">'FASTBACK 1.3T'!A1</f>
        <v>FASTBACK ABARTH 1.3T</v>
      </c>
      <c r="C30" s="10" t="n">
        <f aca="false">'FASTBACK 1.3T'!T2</f>
        <v>861</v>
      </c>
      <c r="D30" s="10" t="n">
        <f aca="false">'FASTBACK 1.3T'!U2</f>
        <v>992</v>
      </c>
      <c r="E30" s="10" t="n">
        <f aca="false">'FASTBACK 1.3T'!V2</f>
        <v>861</v>
      </c>
      <c r="F30" s="10" t="n">
        <f aca="false">'FASTBACK 1.3T'!W2</f>
        <v>1009</v>
      </c>
      <c r="G30" s="10" t="n">
        <f aca="false">'FASTBACK 1.3T'!X2</f>
        <v>895</v>
      </c>
      <c r="H30" s="10" t="n">
        <f aca="false">'FASTBACK 1.3T'!Y2</f>
        <v>1697</v>
      </c>
      <c r="I30" s="10" t="n">
        <f aca="false">'FASTBACK 1.3T'!Z2</f>
        <v>861</v>
      </c>
      <c r="J30" s="10" t="n">
        <f aca="false">'FASTBACK 1.3T'!AA2</f>
        <v>1009</v>
      </c>
      <c r="K30" s="10" t="n">
        <f aca="false">'FASTBACK 1.3T'!AB2</f>
        <v>861</v>
      </c>
      <c r="L30" s="11" t="n">
        <f aca="false">'FASTBACK 1.3T'!AC2</f>
        <v>1026</v>
      </c>
      <c r="M30" s="12" t="n">
        <f aca="false">SUM(C30:L30)</f>
        <v>10072</v>
      </c>
      <c r="N30" s="12" t="n">
        <f aca="false">SUM(C30:H30)</f>
        <v>6315</v>
      </c>
      <c r="O30" s="12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customFormat="false" ht="18.75" hidden="false" customHeight="false" outlineLevel="0" collapsed="false">
      <c r="A31" s="8"/>
      <c r="B31" s="13" t="str">
        <f aca="false">'TORO 1.8'!A1</f>
        <v>TORO 1.8</v>
      </c>
      <c r="C31" s="14" t="n">
        <f aca="false">'TORO 1.8'!O2</f>
        <v>433</v>
      </c>
      <c r="D31" s="14" t="n">
        <f aca="false">'TORO 1.8'!P2</f>
        <v>1031</v>
      </c>
      <c r="E31" s="14" t="n">
        <f aca="false">'TORO 1.8'!Q2</f>
        <v>878</v>
      </c>
      <c r="F31" s="14" t="n">
        <f aca="false">'TORO 1.8'!R2</f>
        <v>1048</v>
      </c>
      <c r="G31" s="14" t="n">
        <f aca="false">'TORO 1.8'!S2</f>
        <v>980</v>
      </c>
      <c r="H31" s="14" t="n">
        <f aca="false">'TORO 1.8'!T2</f>
        <v>2221</v>
      </c>
      <c r="I31" s="14" t="n">
        <f aca="false">'TORO 1.8'!U2</f>
        <v>878</v>
      </c>
      <c r="J31" s="14" t="n">
        <f aca="false">'TORO 1.8'!V2</f>
        <v>1048</v>
      </c>
      <c r="K31" s="14" t="n">
        <f aca="false">'TORO 1.8'!W2</f>
        <v>878</v>
      </c>
      <c r="L31" s="15" t="n">
        <f aca="false">'TORO 1.8'!X2</f>
        <v>1167</v>
      </c>
      <c r="M31" s="12" t="n">
        <f aca="false">SUM(C31:L31)</f>
        <v>10562</v>
      </c>
      <c r="N31" s="12" t="n">
        <f aca="false">SUM(C31:H31)</f>
        <v>6591</v>
      </c>
      <c r="O31" s="12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customFormat="false" ht="18.75" hidden="false" customHeight="false" outlineLevel="0" collapsed="false">
      <c r="A32" s="8"/>
      <c r="B32" s="9" t="str">
        <f aca="false">'TORO 2.4'!A1</f>
        <v>TORO 2.4</v>
      </c>
      <c r="C32" s="10" t="n">
        <f aca="false">'TORO 2.4'!O2</f>
        <v>634</v>
      </c>
      <c r="D32" s="10" t="n">
        <f aca="false">'TORO 2.4'!P2</f>
        <v>993</v>
      </c>
      <c r="E32" s="10" t="n">
        <f aca="false">'TORO 2.4'!Q2</f>
        <v>1044</v>
      </c>
      <c r="F32" s="10" t="n">
        <f aca="false">'TORO 2.4'!R2</f>
        <v>1078</v>
      </c>
      <c r="G32" s="10" t="n">
        <f aca="false">'TORO 2.4'!S2</f>
        <v>1027</v>
      </c>
      <c r="H32" s="10" t="n">
        <f aca="false">'TORO 2.4'!T2</f>
        <v>2409</v>
      </c>
      <c r="I32" s="10" t="n">
        <f aca="false">'TORO 2.4'!U2</f>
        <v>993</v>
      </c>
      <c r="J32" s="10" t="n">
        <f aca="false">'TORO 2.4'!V2</f>
        <v>1078</v>
      </c>
      <c r="K32" s="10" t="n">
        <f aca="false">'TORO 2.4'!W2</f>
        <v>1044</v>
      </c>
      <c r="L32" s="11" t="n">
        <f aca="false">'TORO 2.4'!X2</f>
        <v>1027</v>
      </c>
      <c r="M32" s="12" t="n">
        <f aca="false">SUM(C32:L32)</f>
        <v>11327</v>
      </c>
      <c r="N32" s="12" t="n">
        <f aca="false">SUM(C32:H32)</f>
        <v>7185</v>
      </c>
      <c r="O32" s="12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customFormat="false" ht="18.75" hidden="false" customHeight="true" outlineLevel="0" collapsed="false">
      <c r="A33" s="8"/>
      <c r="B33" s="13" t="str">
        <f aca="false">'TORO 1.3T'!A1</f>
        <v>TORO 1.3T MY25</v>
      </c>
      <c r="C33" s="14" t="n">
        <f aca="false">'TORO 1.3T'!W2</f>
        <v>861</v>
      </c>
      <c r="D33" s="14" t="n">
        <f aca="false">'TORO 1.3T'!X2</f>
        <v>992</v>
      </c>
      <c r="E33" s="14" t="n">
        <f aca="false">'TORO 1.3T'!Y2</f>
        <v>861</v>
      </c>
      <c r="F33" s="14" t="n">
        <f aca="false">'TORO 1.3T'!Z2</f>
        <v>1009</v>
      </c>
      <c r="G33" s="14" t="n">
        <f aca="false">'TORO 1.3T'!AA2</f>
        <v>895</v>
      </c>
      <c r="H33" s="14" t="n">
        <f aca="false">'TORO 1.3T'!AB2</f>
        <v>1783</v>
      </c>
      <c r="I33" s="14" t="n">
        <f aca="false">'TORO 1.3T'!AC2</f>
        <v>861</v>
      </c>
      <c r="J33" s="14" t="n">
        <f aca="false">'TORO 1.3T'!AD2</f>
        <v>1009</v>
      </c>
      <c r="K33" s="14" t="n">
        <f aca="false">'TORO 1.3T'!AE2</f>
        <v>861</v>
      </c>
      <c r="L33" s="15" t="n">
        <f aca="false">'TORO 1.3T'!AF2</f>
        <v>1026</v>
      </c>
      <c r="M33" s="12" t="n">
        <f aca="false">SUM(C33:L33)</f>
        <v>10158</v>
      </c>
      <c r="N33" s="12" t="n">
        <f aca="false">SUM(C33:H33)</f>
        <v>6401</v>
      </c>
      <c r="O33" s="12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customFormat="false" ht="18.75" hidden="false" customHeight="true" outlineLevel="0" collapsed="false">
      <c r="A34" s="8"/>
      <c r="B34" s="9" t="str">
        <f aca="false">'TORO 1.3T'!A13</f>
        <v>TORO 1.3T MY26</v>
      </c>
      <c r="C34" s="10" t="n">
        <f aca="false">'TORO 1.3T'!W14</f>
        <v>1143</v>
      </c>
      <c r="D34" s="10" t="n">
        <f aca="false">'TORO 1.3T'!X14</f>
        <v>1274</v>
      </c>
      <c r="E34" s="10" t="n">
        <f aca="false">'TORO 1.3T'!Y14</f>
        <v>1143</v>
      </c>
      <c r="F34" s="10" t="n">
        <f aca="false">'TORO 1.3T'!Z14</f>
        <v>1154</v>
      </c>
      <c r="G34" s="10" t="n">
        <f aca="false">'TORO 1.3T'!AA14</f>
        <v>1177</v>
      </c>
      <c r="H34" s="10" t="n">
        <f aca="false">'TORO 1.3T'!AB14</f>
        <v>2065</v>
      </c>
      <c r="I34" s="10" t="n">
        <f aca="false">'TORO 1.3T'!AC14</f>
        <v>1143</v>
      </c>
      <c r="J34" s="10" t="n">
        <f aca="false">'TORO 1.3T'!AD14</f>
        <v>1154</v>
      </c>
      <c r="K34" s="10" t="n">
        <f aca="false">'TORO 1.3T'!AE14</f>
        <v>1143</v>
      </c>
      <c r="L34" s="11" t="n">
        <f aca="false">'TORO 1.3T'!AF14</f>
        <v>1308</v>
      </c>
      <c r="M34" s="12" t="n">
        <f aca="false">SUM(C34:L34)</f>
        <v>12704</v>
      </c>
      <c r="N34" s="12" t="n">
        <f aca="false">SUM(C34:H34)</f>
        <v>7956</v>
      </c>
      <c r="O34" s="12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customFormat="false" ht="18.75" hidden="false" customHeight="false" outlineLevel="0" collapsed="false">
      <c r="A35" s="8"/>
      <c r="B35" s="13" t="s">
        <v>13</v>
      </c>
      <c r="C35" s="14" t="n">
        <f aca="false">TITANO!T2</f>
        <v>2304</v>
      </c>
      <c r="D35" s="14" t="n">
        <f aca="false">TITANO!U2</f>
        <v>2294</v>
      </c>
      <c r="E35" s="14" t="n">
        <f aca="false">TITANO!V2</f>
        <v>1989</v>
      </c>
      <c r="F35" s="14" t="n">
        <f aca="false">TITANO!W2</f>
        <v>2328</v>
      </c>
      <c r="G35" s="14" t="n">
        <f aca="false">TITANO!X2</f>
        <v>2551</v>
      </c>
      <c r="H35" s="14" t="n">
        <f aca="false">TITANO!Y2</f>
        <v>2294</v>
      </c>
      <c r="I35" s="14" t="n">
        <f aca="false">TITANO!Z2</f>
        <v>1989</v>
      </c>
      <c r="J35" s="14" t="n">
        <f aca="false">TITANO!AA2</f>
        <v>4110</v>
      </c>
      <c r="K35" s="14" t="n">
        <f aca="false">TITANO!AB2</f>
        <v>2304</v>
      </c>
      <c r="L35" s="15" t="n">
        <f aca="false">TITANO!AC2</f>
        <v>2541</v>
      </c>
      <c r="M35" s="12" t="n">
        <f aca="false">SUM(C35:L35)</f>
        <v>24704</v>
      </c>
      <c r="N35" s="12" t="n">
        <f aca="false">SUM(C35:H35)</f>
        <v>13760</v>
      </c>
      <c r="O35" s="12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customFormat="false" ht="18.75" hidden="false" customHeight="true" outlineLevel="0" collapsed="false">
      <c r="A36" s="8"/>
      <c r="B36" s="9" t="s">
        <v>14</v>
      </c>
      <c r="C36" s="10" t="n">
        <f aca="false">TITANO!T18</f>
        <v>2304</v>
      </c>
      <c r="D36" s="10" t="n">
        <f aca="false">TITANO!U18</f>
        <v>2294</v>
      </c>
      <c r="E36" s="10" t="n">
        <f aca="false">TITANO!V18</f>
        <v>1989</v>
      </c>
      <c r="F36" s="10" t="n">
        <f aca="false">TITANO!W18</f>
        <v>2328</v>
      </c>
      <c r="G36" s="10" t="n">
        <f aca="false">TITANO!X18</f>
        <v>2551</v>
      </c>
      <c r="H36" s="10" t="n">
        <f aca="false">TITANO!Y18</f>
        <v>2294</v>
      </c>
      <c r="I36" s="10" t="n">
        <f aca="false">TITANO!Z18</f>
        <v>1989</v>
      </c>
      <c r="J36" s="10" t="n">
        <f aca="false">TITANO!AA18</f>
        <v>4998</v>
      </c>
      <c r="K36" s="10" t="n">
        <f aca="false">TITANO!AB18</f>
        <v>2304</v>
      </c>
      <c r="L36" s="11" t="n">
        <f aca="false">TITANO!AC18</f>
        <v>2541</v>
      </c>
      <c r="M36" s="12" t="n">
        <f aca="false">SUM(C36:L36)</f>
        <v>25592</v>
      </c>
      <c r="N36" s="12" t="n">
        <f aca="false">SUM(C36:H36)</f>
        <v>13760</v>
      </c>
      <c r="O36" s="1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customFormat="false" ht="18.75" hidden="false" customHeight="true" outlineLevel="0" collapsed="false">
      <c r="A37" s="8"/>
      <c r="B37" s="13" t="str">
        <f aca="false">TITANO!A33</f>
        <v>TITANO 2.2D MT</v>
      </c>
      <c r="C37" s="14" t="n">
        <f aca="false">TITANO!T34</f>
        <v>1764</v>
      </c>
      <c r="D37" s="14" t="n">
        <f aca="false">TITANO!U34</f>
        <v>1664</v>
      </c>
      <c r="E37" s="14" t="n">
        <f aca="false">TITANO!V34</f>
        <v>1434</v>
      </c>
      <c r="F37" s="14" t="n">
        <f aca="false">TITANO!W34</f>
        <v>1783</v>
      </c>
      <c r="G37" s="14" t="n">
        <f aca="false">TITANO!X34</f>
        <v>1451</v>
      </c>
      <c r="H37" s="14" t="n">
        <f aca="false">TITANO!Y34</f>
        <v>2385</v>
      </c>
      <c r="I37" s="14" t="n">
        <f aca="false">TITANO!Z34</f>
        <v>1434</v>
      </c>
      <c r="J37" s="14" t="n">
        <f aca="false">TITANO!AA34</f>
        <v>1783</v>
      </c>
      <c r="K37" s="14" t="n">
        <f aca="false">TITANO!AB34</f>
        <v>1434</v>
      </c>
      <c r="L37" s="15" t="n">
        <f aca="false">TITANO!AC34</f>
        <v>1664</v>
      </c>
      <c r="M37" s="12" t="n">
        <f aca="false">SUM(C37:L37)</f>
        <v>16796</v>
      </c>
      <c r="N37" s="12" t="n">
        <f aca="false">SUM(C37:H37)</f>
        <v>10481</v>
      </c>
      <c r="O37" s="1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customFormat="false" ht="18.75" hidden="false" customHeight="true" outlineLevel="0" collapsed="false">
      <c r="A38" s="8"/>
      <c r="B38" s="9" t="str">
        <f aca="false">TITANO!A48</f>
        <v>TITANO 2.2D AT</v>
      </c>
      <c r="C38" s="10" t="n">
        <f aca="false">TITANO!T49</f>
        <v>1764</v>
      </c>
      <c r="D38" s="10" t="n">
        <f aca="false">TITANO!U49</f>
        <v>1664</v>
      </c>
      <c r="E38" s="10" t="n">
        <f aca="false">TITANO!V49</f>
        <v>1434</v>
      </c>
      <c r="F38" s="10" t="n">
        <f aca="false">TITANO!W49</f>
        <v>1783</v>
      </c>
      <c r="G38" s="10" t="n">
        <f aca="false">TITANO!X49</f>
        <v>1451</v>
      </c>
      <c r="H38" s="10" t="n">
        <f aca="false">TITANO!Y49</f>
        <v>1971</v>
      </c>
      <c r="I38" s="10" t="n">
        <f aca="false">TITANO!Z49</f>
        <v>1434</v>
      </c>
      <c r="J38" s="10" t="n">
        <f aca="false">TITANO!AA49</f>
        <v>1783</v>
      </c>
      <c r="K38" s="10" t="n">
        <f aca="false">TITANO!AB49</f>
        <v>1434</v>
      </c>
      <c r="L38" s="11" t="n">
        <f aca="false">TITANO!AC49</f>
        <v>1664</v>
      </c>
      <c r="M38" s="12" t="n">
        <f aca="false">SUM(C38:L38)</f>
        <v>16382</v>
      </c>
      <c r="N38" s="12" t="n">
        <f aca="false">SUM(C38:H38)</f>
        <v>10067</v>
      </c>
      <c r="O38" s="1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customFormat="false" ht="26.25" hidden="false" customHeight="false" outlineLevel="0" collapsed="false">
      <c r="A39" s="8"/>
      <c r="B39" s="2" t="str">
        <f aca="false">B1</f>
        <v>PREÇO PARA PUBLICAÇÃO - MAR.26</v>
      </c>
      <c r="C39" s="2"/>
      <c r="D39" s="2"/>
      <c r="E39" s="2"/>
      <c r="F39" s="2"/>
      <c r="G39" s="2"/>
      <c r="H39" s="2"/>
      <c r="I39" s="2"/>
      <c r="J39" s="2"/>
      <c r="K39" s="2"/>
      <c r="L39" s="2"/>
      <c r="N39" s="12" t="n">
        <f aca="false">SUM(C39:H39)</f>
        <v>0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customFormat="false" ht="18.75" hidden="false" customHeight="true" outlineLevel="0" collapsed="false">
      <c r="A40" s="8"/>
      <c r="B40" s="4" t="s">
        <v>15</v>
      </c>
      <c r="C40" s="4"/>
      <c r="D40" s="4"/>
      <c r="E40" s="4"/>
      <c r="F40" s="4"/>
      <c r="G40" s="4"/>
      <c r="H40" s="4"/>
      <c r="I40" s="4"/>
      <c r="J40" s="4"/>
      <c r="K40" s="4"/>
      <c r="L40" s="4"/>
      <c r="N40" s="12" t="n">
        <f aca="false">SUM(C40:H40)</f>
        <v>0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customFormat="false" ht="17.25" hidden="false" customHeight="true" outlineLevel="0" collapsed="false">
      <c r="A41" s="8"/>
      <c r="B41" s="5" t="s">
        <v>16</v>
      </c>
      <c r="C41" s="6" t="s">
        <v>17</v>
      </c>
      <c r="D41" s="6" t="s">
        <v>18</v>
      </c>
      <c r="E41" s="6" t="s">
        <v>19</v>
      </c>
      <c r="F41" s="6" t="s">
        <v>20</v>
      </c>
      <c r="G41" s="6" t="s">
        <v>21</v>
      </c>
      <c r="H41" s="6" t="s">
        <v>22</v>
      </c>
      <c r="I41" s="6" t="s">
        <v>23</v>
      </c>
      <c r="J41" s="6" t="s">
        <v>24</v>
      </c>
      <c r="K41" s="6" t="s">
        <v>25</v>
      </c>
      <c r="L41" s="7" t="s">
        <v>26</v>
      </c>
      <c r="N41" s="12" t="n">
        <f aca="false">SUM(C41:H41)</f>
        <v>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customFormat="false" ht="18.75" hidden="false" customHeight="false" outlineLevel="0" collapsed="false">
      <c r="A42" s="8"/>
      <c r="B42" s="16" t="str">
        <f aca="false">'TORO DIESEL'!A1</f>
        <v>TORO 2.0</v>
      </c>
      <c r="C42" s="17" t="n">
        <f aca="false">'TORO DIESEL'!T2</f>
        <v>1451</v>
      </c>
      <c r="D42" s="17" t="n">
        <f aca="false">'TORO DIESEL'!U2</f>
        <v>1673</v>
      </c>
      <c r="E42" s="17" t="n">
        <f aca="false">'TORO DIESEL'!V2</f>
        <v>1970</v>
      </c>
      <c r="F42" s="17" t="n">
        <f aca="false">'TORO DIESEL'!W2</f>
        <v>2832</v>
      </c>
      <c r="G42" s="17" t="n">
        <f aca="false">'TORO DIESEL'!X2</f>
        <v>1502</v>
      </c>
      <c r="H42" s="17" t="n">
        <f aca="false">'TORO DIESEL'!Y2</f>
        <v>1918</v>
      </c>
      <c r="I42" s="17" t="n">
        <f aca="false">'TORO DIESEL'!Z2</f>
        <v>1690</v>
      </c>
      <c r="J42" s="17" t="n">
        <f aca="false">'TORO DIESEL'!AA2</f>
        <v>2884</v>
      </c>
      <c r="K42" s="17" t="n">
        <f aca="false">'TORO DIESEL'!AB2</f>
        <v>1730</v>
      </c>
      <c r="L42" s="18" t="n">
        <f aca="false">'TORO DIESEL'!AC2</f>
        <v>1656</v>
      </c>
      <c r="M42" s="12" t="n">
        <f aca="false">SUM(C42:L42)</f>
        <v>19306</v>
      </c>
      <c r="N42" s="12" t="n">
        <f aca="false">SUM(C42:H42)</f>
        <v>11346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customFormat="false" ht="18.75" hidden="false" customHeight="false" outlineLevel="0" collapsed="false">
      <c r="A43" s="8"/>
      <c r="B43" s="19" t="str">
        <f aca="false">'TORO DIESEL'!A13</f>
        <v>TORO 2.2TD MY26</v>
      </c>
      <c r="C43" s="10" t="n">
        <f aca="false">'TORO DIESEL'!T14</f>
        <v>1682</v>
      </c>
      <c r="D43" s="10" t="n">
        <f aca="false">'TORO DIESEL'!U14</f>
        <v>1901</v>
      </c>
      <c r="E43" s="10" t="n">
        <f aca="false">'TORO DIESEL'!V14</f>
        <v>1836</v>
      </c>
      <c r="F43" s="10" t="n">
        <f aca="false">'TORO DIESEL'!W14</f>
        <v>1884</v>
      </c>
      <c r="G43" s="10" t="n">
        <f aca="false">'TORO DIESEL'!X14</f>
        <v>1699</v>
      </c>
      <c r="H43" s="10" t="n">
        <f aca="false">'TORO DIESEL'!Y14</f>
        <v>1970</v>
      </c>
      <c r="I43" s="10" t="n">
        <f aca="false">'TORO DIESEL'!Z14</f>
        <v>1836</v>
      </c>
      <c r="J43" s="10" t="n">
        <f aca="false">'TORO DIESEL'!AA14</f>
        <v>1901</v>
      </c>
      <c r="K43" s="10" t="n">
        <f aca="false">'TORO DIESEL'!AB14</f>
        <v>1682</v>
      </c>
      <c r="L43" s="11" t="n">
        <f aca="false">'TORO DIESEL'!AC14</f>
        <v>1884</v>
      </c>
      <c r="M43" s="12" t="n">
        <f aca="false">SUM(C43:L43)</f>
        <v>18275</v>
      </c>
      <c r="N43" s="12" t="n">
        <f aca="false">SUM(C43:H43)</f>
        <v>10972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customFormat="false" ht="18.75" hidden="false" customHeight="false" outlineLevel="0" collapsed="false">
      <c r="A44" s="8"/>
      <c r="B44" s="13" t="str">
        <f aca="false">SCUDO!A1</f>
        <v>SCUDO</v>
      </c>
      <c r="C44" s="14" t="n">
        <f aca="false">SCUDO!T2</f>
        <v>2031</v>
      </c>
      <c r="D44" s="14" t="n">
        <f aca="false">SCUDO!U2</f>
        <v>2066</v>
      </c>
      <c r="E44" s="14" t="n">
        <f aca="false">SCUDO!V2</f>
        <v>3092</v>
      </c>
      <c r="F44" s="14" t="n">
        <f aca="false">SCUDO!W2</f>
        <v>2237</v>
      </c>
      <c r="G44" s="14" t="n">
        <f aca="false">SCUDO!X2</f>
        <v>2031</v>
      </c>
      <c r="H44" s="14" t="n">
        <f aca="false">SCUDO!Y2</f>
        <v>5953</v>
      </c>
      <c r="I44" s="14" t="n">
        <f aca="false">SCUDO!Z2</f>
        <v>2031</v>
      </c>
      <c r="J44" s="14" t="n">
        <f aca="false">SCUDO!AA2</f>
        <v>2066</v>
      </c>
      <c r="K44" s="14" t="n">
        <f aca="false">SCUDO!AB2</f>
        <v>3092</v>
      </c>
      <c r="L44" s="20" t="n">
        <f aca="false">SCUDO!AC2</f>
        <v>1895</v>
      </c>
      <c r="M44" s="12" t="n">
        <f aca="false">SUM(C44:L44)</f>
        <v>26494</v>
      </c>
      <c r="N44" s="12" t="n">
        <f aca="false">SUM(C44:H44)</f>
        <v>17410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customFormat="false" ht="18.75" hidden="false" customHeight="false" outlineLevel="0" collapsed="false">
      <c r="A45" s="8"/>
      <c r="B45" s="21" t="str">
        <f aca="false">SCUDO!A32</f>
        <v>e-SCUDO</v>
      </c>
      <c r="C45" s="10" t="n">
        <f aca="false">SCUDO!T33</f>
        <v>706</v>
      </c>
      <c r="D45" s="10" t="n">
        <f aca="false">SCUDO!U33</f>
        <v>706</v>
      </c>
      <c r="E45" s="10" t="n">
        <f aca="false">SCUDO!V33</f>
        <v>706</v>
      </c>
      <c r="F45" s="10" t="n">
        <f aca="false">SCUDO!W33</f>
        <v>1497</v>
      </c>
      <c r="G45" s="10" t="n">
        <f aca="false">SCUDO!X33</f>
        <v>706</v>
      </c>
      <c r="H45" s="10" t="n">
        <f aca="false">SCUDO!Y33</f>
        <v>706</v>
      </c>
      <c r="I45" s="10" t="n">
        <f aca="false">SCUDO!Z33</f>
        <v>706</v>
      </c>
      <c r="J45" s="10" t="n">
        <f aca="false">SCUDO!AA33</f>
        <v>1497</v>
      </c>
      <c r="K45" s="10" t="n">
        <f aca="false">SCUDO!AB33</f>
        <v>706</v>
      </c>
      <c r="L45" s="11" t="n">
        <f aca="false">SCUDO!AC33</f>
        <v>706</v>
      </c>
      <c r="M45" s="12" t="n">
        <f aca="false">SUM(C45:L45)</f>
        <v>8642</v>
      </c>
      <c r="N45" s="12" t="n">
        <f aca="false">SUM(C45:H45)</f>
        <v>5027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customFormat="false" ht="18.75" hidden="false" customHeight="false" outlineLevel="0" collapsed="false">
      <c r="A46" s="8"/>
      <c r="B46" s="13" t="str">
        <f aca="false">SCUDO!A19</f>
        <v>SCUDO 2.2D</v>
      </c>
      <c r="C46" s="14" t="n">
        <f aca="false">SCUDO!T20</f>
        <v>1758</v>
      </c>
      <c r="D46" s="14" t="n">
        <f aca="false">SCUDO!U20</f>
        <v>2472</v>
      </c>
      <c r="E46" s="14" t="n">
        <f aca="false">SCUDO!V20</f>
        <v>2116</v>
      </c>
      <c r="F46" s="14" t="n">
        <f aca="false">SCUDO!W20</f>
        <v>2472</v>
      </c>
      <c r="G46" s="14" t="n">
        <f aca="false">SCUDO!X20</f>
        <v>1758</v>
      </c>
      <c r="H46" s="14" t="n">
        <f aca="false">SCUDO!Y20</f>
        <v>4491</v>
      </c>
      <c r="I46" s="14" t="n">
        <f aca="false">SCUDO!Z20</f>
        <v>1758</v>
      </c>
      <c r="J46" s="14" t="n">
        <f aca="false">SCUDO!AA20</f>
        <v>2472</v>
      </c>
      <c r="K46" s="14" t="n">
        <f aca="false">SCUDO!AB20</f>
        <v>2116</v>
      </c>
      <c r="L46" s="15" t="n">
        <f aca="false">SCUDO!AC20</f>
        <v>2472</v>
      </c>
      <c r="M46" s="12"/>
      <c r="N46" s="1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customFormat="false" ht="18.75" hidden="false" customHeight="false" outlineLevel="0" collapsed="false">
      <c r="A47" s="8"/>
      <c r="B47" s="21" t="str">
        <f aca="false">DUCATO!A1</f>
        <v>DUCATO X250</v>
      </c>
      <c r="C47" s="10" t="n">
        <f aca="false">DUCATO!T2</f>
        <v>2386</v>
      </c>
      <c r="D47" s="10" t="n">
        <f aca="false">DUCATO!U2</f>
        <v>2386</v>
      </c>
      <c r="E47" s="10" t="n">
        <f aca="false">DUCATO!V2</f>
        <v>2386</v>
      </c>
      <c r="F47" s="10" t="n">
        <f aca="false">DUCATO!W2</f>
        <v>3617</v>
      </c>
      <c r="G47" s="10" t="n">
        <f aca="false">DUCATO!X2</f>
        <v>2420</v>
      </c>
      <c r="H47" s="10" t="n">
        <f aca="false">DUCATO!Y2</f>
        <v>3615</v>
      </c>
      <c r="I47" s="10" t="n">
        <f aca="false">DUCATO!Z2</f>
        <v>2386</v>
      </c>
      <c r="J47" s="10" t="n">
        <f aca="false">DUCATO!AA2</f>
        <v>5410</v>
      </c>
      <c r="K47" s="10" t="n">
        <f aca="false">DUCATO!AB2</f>
        <v>2386</v>
      </c>
      <c r="L47" s="11" t="n">
        <f aca="false">DUCATO!AC2</f>
        <v>2420</v>
      </c>
      <c r="M47" s="12" t="n">
        <f aca="false">SUM(C47:L47)</f>
        <v>29412</v>
      </c>
      <c r="N47" s="12" t="n">
        <f aca="false">SUM(C47:H47)</f>
        <v>16810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customFormat="false" ht="19.5" hidden="false" customHeight="false" outlineLevel="0" collapsed="false">
      <c r="A48" s="8"/>
      <c r="B48" s="13" t="str">
        <f aca="false">DUCATO!A35</f>
        <v>DUCATO X250 2.2D</v>
      </c>
      <c r="C48" s="14" t="n">
        <f aca="false">DUCATO!T36</f>
        <v>1559</v>
      </c>
      <c r="D48" s="14" t="n">
        <f aca="false">DUCATO!U36</f>
        <v>2926</v>
      </c>
      <c r="E48" s="14" t="n">
        <f aca="false">DUCATO!V36</f>
        <v>1985</v>
      </c>
      <c r="F48" s="14" t="n">
        <f aca="false">DUCATO!W36</f>
        <v>2926</v>
      </c>
      <c r="G48" s="14" t="n">
        <f aca="false">DUCATO!X36</f>
        <v>1559</v>
      </c>
      <c r="H48" s="14" t="n">
        <f aca="false">DUCATO!Y36</f>
        <v>5321</v>
      </c>
      <c r="I48" s="14" t="n">
        <f aca="false">DUCATO!Z36</f>
        <v>1559</v>
      </c>
      <c r="J48" s="14" t="n">
        <f aca="false">DUCATO!AA36</f>
        <v>2926</v>
      </c>
      <c r="K48" s="14" t="n">
        <f aca="false">DUCATO!AB36</f>
        <v>1985</v>
      </c>
      <c r="L48" s="15" t="n">
        <f aca="false">DUCATO!AC36</f>
        <v>2926</v>
      </c>
      <c r="M48" s="12" t="n">
        <f aca="false">SUM(C48:L48)</f>
        <v>25672</v>
      </c>
      <c r="N48" s="12" t="n">
        <f aca="false">SUM(C48:H48)</f>
        <v>16276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customFormat="false" ht="26.25" hidden="false" customHeight="false" outlineLevel="0" collapsed="false">
      <c r="A49" s="8"/>
      <c r="B49" s="2" t="str">
        <f aca="false">B39</f>
        <v>PREÇO PARA PUBLICAÇÃO - MAR.26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  <c r="N49" s="12" t="n">
        <f aca="false">SUM(C49:H49)</f>
        <v>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customFormat="false" ht="22.5" hidden="false" customHeight="true" outlineLevel="0" collapsed="false">
      <c r="A50" s="8"/>
      <c r="B50" s="4" t="s">
        <v>27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1"/>
      <c r="N50" s="12" t="n">
        <f aca="false">SUM(C50:H50)</f>
        <v>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customFormat="false" ht="17.25" hidden="false" customHeight="true" outlineLevel="0" collapsed="false">
      <c r="A51" s="8"/>
      <c r="B51" s="5" t="s">
        <v>16</v>
      </c>
      <c r="C51" s="6" t="s">
        <v>17</v>
      </c>
      <c r="D51" s="6" t="s">
        <v>18</v>
      </c>
      <c r="E51" s="6" t="s">
        <v>19</v>
      </c>
      <c r="F51" s="6" t="s">
        <v>20</v>
      </c>
      <c r="G51" s="6" t="s">
        <v>21</v>
      </c>
      <c r="H51" s="6" t="s">
        <v>22</v>
      </c>
      <c r="I51" s="6" t="s">
        <v>23</v>
      </c>
      <c r="J51" s="6" t="s">
        <v>24</v>
      </c>
      <c r="K51" s="6" t="s">
        <v>25</v>
      </c>
      <c r="L51" s="7" t="s">
        <v>26</v>
      </c>
      <c r="M51" s="3"/>
      <c r="N51" s="12" t="n">
        <f aca="false">SUM(C51:H51)</f>
        <v>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customFormat="false" ht="15" hidden="true" customHeight="true" outlineLevel="0" collapsed="false">
      <c r="A52" s="8"/>
      <c r="C52" s="22" t="n">
        <f aca="false">C53/4</f>
        <v>68.5</v>
      </c>
      <c r="D52" s="22" t="n">
        <f aca="false">D53/4</f>
        <v>159.25</v>
      </c>
      <c r="E52" s="22" t="n">
        <f aca="false">E53/4</f>
        <v>68.5</v>
      </c>
      <c r="F52" s="22" t="n">
        <f aca="false">F53/4</f>
        <v>159.25</v>
      </c>
      <c r="G52" s="22" t="n">
        <f aca="false">G53/4</f>
        <v>68.5</v>
      </c>
      <c r="H52" s="22" t="n">
        <f aca="false">H53/4</f>
        <v>159.25</v>
      </c>
      <c r="I52" s="22" t="n">
        <f aca="false">I53/4</f>
        <v>68.5</v>
      </c>
      <c r="J52" s="22" t="n">
        <f aca="false">J53/4</f>
        <v>159.25</v>
      </c>
      <c r="K52" s="22" t="n">
        <f aca="false">K53/4</f>
        <v>68.5</v>
      </c>
      <c r="L52" s="23" t="n">
        <f aca="false">L53/4</f>
        <v>159.25</v>
      </c>
      <c r="N52" s="12" t="n">
        <f aca="false">SUM(C52:H52)</f>
        <v>683.25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customFormat="false" ht="24" hidden="false" customHeight="true" outlineLevel="0" collapsed="false">
      <c r="A53" s="8"/>
      <c r="B53" s="24" t="str">
        <f aca="false">500e!a1</f>
        <v>500e</v>
      </c>
      <c r="C53" s="25" t="n">
        <f aca="false">500e!o2</f>
        <v>274</v>
      </c>
      <c r="D53" s="25" t="n">
        <f aca="false">500e!p2</f>
        <v>637</v>
      </c>
      <c r="E53" s="25" t="n">
        <f aca="false">500e!q2</f>
        <v>274</v>
      </c>
      <c r="F53" s="25" t="n">
        <f aca="false">500e!r2</f>
        <v>637</v>
      </c>
      <c r="G53" s="25" t="n">
        <f aca="false">500e!s2</f>
        <v>274</v>
      </c>
      <c r="H53" s="25" t="n">
        <f aca="false">500e!t2</f>
        <v>637</v>
      </c>
      <c r="I53" s="25" t="n">
        <f aca="false">500e!u2</f>
        <v>274</v>
      </c>
      <c r="J53" s="25" t="n">
        <f aca="false">500e!v2</f>
        <v>637</v>
      </c>
      <c r="K53" s="25" t="n">
        <f aca="false">500e!w2</f>
        <v>274</v>
      </c>
      <c r="L53" s="26" t="n">
        <f aca="false">500e!x2</f>
        <v>637</v>
      </c>
      <c r="M53" s="27" t="n">
        <f aca="false">SUM(C53:L53)</f>
        <v>4555</v>
      </c>
      <c r="N53" s="12" t="n">
        <f aca="false">SUM(C53:H53)</f>
        <v>2733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customFormat="false" ht="17.25" hidden="false" customHeight="true" outlineLevel="0" collapsed="false">
      <c r="A54" s="8"/>
      <c r="B54" s="28" t="str">
        <f aca="false">DUCATO!A20</f>
        <v>DUCATO</v>
      </c>
      <c r="C54" s="29" t="n">
        <f aca="false">DUCATO!T21</f>
        <v>1334</v>
      </c>
      <c r="D54" s="29" t="n">
        <f aca="false">DUCATO!U21</f>
        <v>1590</v>
      </c>
      <c r="E54" s="29" t="n">
        <f aca="false">DUCATO!V21</f>
        <v>2189</v>
      </c>
      <c r="F54" s="29" t="n">
        <f aca="false">DUCATO!W21</f>
        <v>1966</v>
      </c>
      <c r="G54" s="29" t="n">
        <f aca="false">DUCATO!X21</f>
        <v>3414</v>
      </c>
      <c r="H54" s="29" t="n">
        <f aca="false">DUCATO!Y21</f>
        <v>2189</v>
      </c>
      <c r="I54" s="29" t="n">
        <f aca="false">DUCATO!Z21</f>
        <v>2103</v>
      </c>
      <c r="J54" s="29" t="n">
        <f aca="false">DUCATO!AA21</f>
        <v>3278</v>
      </c>
      <c r="K54" s="29" t="n">
        <f aca="false">DUCATO!AB21</f>
        <v>2103</v>
      </c>
      <c r="L54" s="30" t="n">
        <f aca="false">DUCATO!AC21</f>
        <v>2531</v>
      </c>
      <c r="M54" s="27" t="n">
        <f aca="false">SUM(C54:L54)</f>
        <v>22697</v>
      </c>
      <c r="N54" s="12" t="n">
        <f aca="false">SUM(C54:H54)</f>
        <v>12682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customFormat="false" ht="18.75" hidden="false" customHeight="true" outlineLevel="0" collapsed="false">
      <c r="A55" s="1"/>
      <c r="R55" s="3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customFormat="false" ht="18.75" hidden="false" customHeight="true" outlineLevel="0" collapsed="false">
      <c r="A56" s="1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</sheetData>
  <mergeCells count="6">
    <mergeCell ref="B1:L1"/>
    <mergeCell ref="B2:L2"/>
    <mergeCell ref="B39:L39"/>
    <mergeCell ref="B40:L40"/>
    <mergeCell ref="B49:L49"/>
    <mergeCell ref="B50:L50"/>
  </mergeCells>
  <hyperlinks>
    <hyperlink ref="B46" location="SCUDO!A1" display="#SCUDO.A1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J9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E17" activeCellId="0" sqref="E17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60.85"/>
    <col collapsed="false" customWidth="true" hidden="false" outlineLevel="0" max="3" min="3" style="33" width="16.87"/>
    <col collapsed="false" customWidth="true" hidden="false" outlineLevel="0" max="4" min="4" style="0" width="8.71"/>
    <col collapsed="false" customWidth="true" hidden="false" outlineLevel="0" max="19" min="5" style="0" width="5.14"/>
    <col collapsed="false" customWidth="true" hidden="false" outlineLevel="0" max="20" min="20" style="0" width="15"/>
    <col collapsed="false" customWidth="true" hidden="false" outlineLevel="0" max="21" min="21" style="0" width="15.71"/>
    <col collapsed="false" customWidth="true" hidden="false" outlineLevel="0" max="22" min="22" style="0" width="15"/>
    <col collapsed="false" customWidth="true" hidden="false" outlineLevel="0" max="23" min="23" style="0" width="17.13"/>
    <col collapsed="false" customWidth="true" hidden="false" outlineLevel="0" max="24" min="24" style="0" width="15"/>
    <col collapsed="false" customWidth="true" hidden="false" outlineLevel="0" max="25" min="25" style="0" width="17.13"/>
    <col collapsed="false" customWidth="true" hidden="false" outlineLevel="0" max="26" min="26" style="0" width="13.7"/>
    <col collapsed="false" customWidth="true" hidden="false" outlineLevel="0" max="27" min="27" style="0" width="15.71"/>
    <col collapsed="false" customWidth="true" hidden="false" outlineLevel="0" max="28" min="28" style="0" width="13.7"/>
    <col collapsed="false" customWidth="true" hidden="false" outlineLevel="0" max="29" min="29" style="0" width="15.71"/>
    <col collapsed="false" customWidth="true" hidden="false" outlineLevel="0" max="30" min="30" style="0" width="13.7"/>
    <col collapsed="false" customWidth="true" hidden="false" outlineLevel="0" max="31" min="31" style="0" width="15.71"/>
    <col collapsed="false" customWidth="true" hidden="false" outlineLevel="0" max="32" min="32" style="0" width="13.7"/>
    <col collapsed="false" customWidth="true" hidden="false" outlineLevel="0" max="33" min="33" style="0" width="15.71"/>
    <col collapsed="false" customWidth="true" hidden="false" outlineLevel="0" max="34" min="34" style="0" width="13.7"/>
    <col collapsed="false" customWidth="true" hidden="false" outlineLevel="0" max="35" min="35" style="0" width="8.41"/>
    <col collapsed="false" customWidth="true" hidden="false" outlineLevel="0" max="36" min="36" style="0" width="15.57"/>
  </cols>
  <sheetData>
    <row r="1" customFormat="false" ht="25.5" hidden="false" customHeight="true" outlineLevel="0" collapsed="false">
      <c r="A1" s="34" t="s">
        <v>28</v>
      </c>
      <c r="B1" s="34"/>
      <c r="C1" s="34"/>
      <c r="D1" s="34"/>
      <c r="E1" s="35" t="s">
        <v>29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6" t="s">
        <v>30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 t="s">
        <v>31</v>
      </c>
      <c r="AJ1" s="37"/>
    </row>
    <row r="2" customFormat="false" ht="15" hidden="false" customHeight="false" outlineLevel="0" collapsed="false">
      <c r="A2" s="38"/>
      <c r="B2" s="39"/>
      <c r="C2" s="39"/>
      <c r="D2" s="40"/>
      <c r="E2" s="41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3" t="n">
        <f aca="false">MROUND(SUM(T4:T12),1)</f>
        <v>577</v>
      </c>
      <c r="U2" s="43" t="n">
        <f aca="false">MROUND(SUM(U4:U12),1)</f>
        <v>823</v>
      </c>
      <c r="V2" s="43" t="n">
        <f aca="false">MROUND(SUM(V4:V12),1)</f>
        <v>594</v>
      </c>
      <c r="W2" s="43" t="n">
        <f aca="false">MROUND(SUM(W4:W12),1)</f>
        <v>1675</v>
      </c>
      <c r="X2" s="43" t="n">
        <f aca="false">MROUND(SUM(X4:X12),1)</f>
        <v>628</v>
      </c>
      <c r="Y2" s="43" t="n">
        <f aca="false">MROUND(SUM(Y4:Y12),1)</f>
        <v>1051</v>
      </c>
      <c r="Z2" s="43" t="n">
        <f aca="false">MROUND(SUM(Z4:Z12),1)</f>
        <v>577</v>
      </c>
      <c r="AA2" s="43" t="n">
        <f aca="false">MROUND(SUM(AA4:AA12),1)</f>
        <v>1675</v>
      </c>
      <c r="AB2" s="43" t="n">
        <f aca="false">MROUND(SUM(AB4:AB12),1)</f>
        <v>594</v>
      </c>
      <c r="AC2" s="43" t="n">
        <f aca="false">MROUND(SUM(AC4:AC12),1)</f>
        <v>874</v>
      </c>
      <c r="AD2" s="43" t="n">
        <f aca="false">MROUND(SUM(AD4:AD12),1)</f>
        <v>577</v>
      </c>
      <c r="AE2" s="43" t="n">
        <f aca="false">MROUND(SUM(AE4:AE12),1)</f>
        <v>2104</v>
      </c>
      <c r="AF2" s="43" t="n">
        <f aca="false">MROUND(SUM(AF4:AF12),1)</f>
        <v>577</v>
      </c>
      <c r="AG2" s="43" t="n">
        <f aca="false">MROUND(SUM(AG4:AG12),1)</f>
        <v>823</v>
      </c>
      <c r="AH2" s="43" t="n">
        <f aca="false">MROUND(SUM(AH4:AH12),1)</f>
        <v>645</v>
      </c>
      <c r="AI2" s="44" t="n">
        <f aca="false">SUM(T2:AH2)</f>
        <v>13794</v>
      </c>
      <c r="AJ2" s="44"/>
    </row>
    <row r="3" customFormat="false" ht="15" hidden="false" customHeight="false" outlineLevel="0" collapsed="false">
      <c r="A3" s="45" t="s">
        <v>32</v>
      </c>
      <c r="B3" s="45" t="s">
        <v>33</v>
      </c>
      <c r="C3" s="46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9" t="s">
        <v>45</v>
      </c>
      <c r="O3" s="49" t="n">
        <v>11</v>
      </c>
      <c r="P3" s="49" t="n">
        <v>12</v>
      </c>
      <c r="Q3" s="49" t="n">
        <v>13</v>
      </c>
      <c r="R3" s="49" t="n">
        <v>14</v>
      </c>
      <c r="S3" s="49" t="n">
        <v>15</v>
      </c>
      <c r="T3" s="48" t="n">
        <v>10000</v>
      </c>
      <c r="U3" s="48" t="n">
        <v>20000</v>
      </c>
      <c r="V3" s="48" t="n">
        <v>30000</v>
      </c>
      <c r="W3" s="48" t="n">
        <v>40000</v>
      </c>
      <c r="X3" s="48" t="n">
        <v>50000</v>
      </c>
      <c r="Y3" s="48" t="n">
        <v>60000</v>
      </c>
      <c r="Z3" s="48" t="n">
        <v>70000</v>
      </c>
      <c r="AA3" s="48" t="n">
        <v>80000</v>
      </c>
      <c r="AB3" s="48" t="n">
        <v>90000</v>
      </c>
      <c r="AC3" s="48" t="n">
        <v>100000</v>
      </c>
      <c r="AD3" s="50" t="n">
        <f aca="false">AC3+10000</f>
        <v>110000</v>
      </c>
      <c r="AE3" s="50" t="n">
        <f aca="false">AD3+10000</f>
        <v>120000</v>
      </c>
      <c r="AF3" s="50" t="n">
        <f aca="false">AE3+10000</f>
        <v>130000</v>
      </c>
      <c r="AG3" s="50" t="n">
        <f aca="false">AF3+10000</f>
        <v>140000</v>
      </c>
      <c r="AH3" s="50" t="n">
        <f aca="false">AG3+10000</f>
        <v>150000</v>
      </c>
      <c r="AI3" s="51" t="s">
        <v>46</v>
      </c>
      <c r="AJ3" s="45" t="s">
        <v>47</v>
      </c>
    </row>
    <row r="4" customFormat="false" ht="15" hidden="false" customHeight="false" outlineLevel="0" collapsed="false">
      <c r="A4" s="52" t="n">
        <v>1</v>
      </c>
      <c r="B4" s="53" t="s">
        <v>48</v>
      </c>
      <c r="C4" s="54" t="s">
        <v>49</v>
      </c>
      <c r="D4" s="55" t="n">
        <f aca="false">VLOOKUP(C4,'[1]PREÇO ATUAL'!$A$1:$D$1048576,4,0)</f>
        <v>79.9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7" t="n">
        <v>1</v>
      </c>
      <c r="O4" s="57" t="n">
        <v>1</v>
      </c>
      <c r="P4" s="57" t="n">
        <v>1</v>
      </c>
      <c r="Q4" s="57" t="n">
        <v>1</v>
      </c>
      <c r="R4" s="57" t="n">
        <v>1</v>
      </c>
      <c r="S4" s="57" t="n">
        <v>1</v>
      </c>
      <c r="T4" s="58" t="n">
        <f aca="false">$D4*E4</f>
        <v>79.9</v>
      </c>
      <c r="U4" s="58" t="n">
        <f aca="false">$D4*F4</f>
        <v>79.9</v>
      </c>
      <c r="V4" s="58" t="n">
        <f aca="false">$D4*G4</f>
        <v>79.9</v>
      </c>
      <c r="W4" s="58" t="n">
        <f aca="false">$D4*H4</f>
        <v>79.9</v>
      </c>
      <c r="X4" s="58" t="n">
        <f aca="false">$D4*I4</f>
        <v>79.9</v>
      </c>
      <c r="Y4" s="58" t="n">
        <f aca="false">$D4*J4</f>
        <v>79.9</v>
      </c>
      <c r="Z4" s="58" t="n">
        <f aca="false">$D4*K4</f>
        <v>79.9</v>
      </c>
      <c r="AA4" s="58" t="n">
        <f aca="false">$D4*L4</f>
        <v>79.9</v>
      </c>
      <c r="AB4" s="58" t="n">
        <f aca="false">$D4*M4</f>
        <v>79.9</v>
      </c>
      <c r="AC4" s="58" t="n">
        <f aca="false">$D4*N4</f>
        <v>79.9</v>
      </c>
      <c r="AD4" s="58" t="n">
        <f aca="false">$D4*O4</f>
        <v>79.9</v>
      </c>
      <c r="AE4" s="58" t="n">
        <f aca="false">$D4*P4</f>
        <v>79.9</v>
      </c>
      <c r="AF4" s="58" t="n">
        <f aca="false">$D4*Q4</f>
        <v>79.9</v>
      </c>
      <c r="AG4" s="58" t="n">
        <f aca="false">$D4*R4</f>
        <v>79.9</v>
      </c>
      <c r="AH4" s="58" t="n">
        <f aca="false">$D4*S4</f>
        <v>79.9</v>
      </c>
      <c r="AI4" s="59" t="n">
        <f aca="false">AJ4/$AI$2</f>
        <v>0.0868856024358417</v>
      </c>
      <c r="AJ4" s="58" t="n">
        <f aca="false">SUM(T4:AH4)</f>
        <v>1198.5</v>
      </c>
    </row>
    <row r="5" customFormat="false" ht="15" hidden="false" customHeight="false" outlineLevel="0" collapsed="false">
      <c r="A5" s="60" t="n">
        <v>2</v>
      </c>
      <c r="B5" s="61" t="s">
        <v>50</v>
      </c>
      <c r="C5" s="62" t="s">
        <v>51</v>
      </c>
      <c r="D5" s="63" t="n">
        <f aca="false">VLOOKUP(C5,'[1]PREÇO ATUAL'!$A$1:$D$1048576,4,0)</f>
        <v>35.9</v>
      </c>
      <c r="E5" s="64"/>
      <c r="F5" s="64" t="n">
        <v>1</v>
      </c>
      <c r="G5" s="64"/>
      <c r="H5" s="64" t="n">
        <v>1</v>
      </c>
      <c r="I5" s="65"/>
      <c r="J5" s="65" t="n">
        <v>1</v>
      </c>
      <c r="K5" s="65"/>
      <c r="L5" s="65" t="n">
        <v>1</v>
      </c>
      <c r="M5" s="65"/>
      <c r="N5" s="65" t="n">
        <v>1</v>
      </c>
      <c r="O5" s="65"/>
      <c r="P5" s="65" t="n">
        <v>1</v>
      </c>
      <c r="Q5" s="65"/>
      <c r="R5" s="65" t="n">
        <v>1</v>
      </c>
      <c r="S5" s="65"/>
      <c r="T5" s="66" t="n">
        <f aca="false">$D5*E5</f>
        <v>0</v>
      </c>
      <c r="U5" s="66" t="n">
        <f aca="false">$D5*F5</f>
        <v>35.9</v>
      </c>
      <c r="V5" s="66" t="n">
        <f aca="false">$D5*G5</f>
        <v>0</v>
      </c>
      <c r="W5" s="66" t="n">
        <f aca="false">$D5*H5</f>
        <v>35.9</v>
      </c>
      <c r="X5" s="66" t="n">
        <f aca="false">$D5*I5</f>
        <v>0</v>
      </c>
      <c r="Y5" s="66" t="n">
        <f aca="false">$D5*J5</f>
        <v>35.9</v>
      </c>
      <c r="Z5" s="66" t="n">
        <f aca="false">$D5*K5</f>
        <v>0</v>
      </c>
      <c r="AA5" s="66" t="n">
        <f aca="false">$D5*L5</f>
        <v>35.9</v>
      </c>
      <c r="AB5" s="66" t="n">
        <f aca="false">$D5*M5</f>
        <v>0</v>
      </c>
      <c r="AC5" s="66" t="n">
        <f aca="false">$D5*N5</f>
        <v>35.9</v>
      </c>
      <c r="AD5" s="66" t="n">
        <f aca="false">$D5*O5</f>
        <v>0</v>
      </c>
      <c r="AE5" s="66" t="n">
        <f aca="false">$D5*P5</f>
        <v>35.9</v>
      </c>
      <c r="AF5" s="66" t="n">
        <f aca="false">$D5*Q5</f>
        <v>0</v>
      </c>
      <c r="AG5" s="66" t="n">
        <f aca="false">$D5*R5</f>
        <v>35.9</v>
      </c>
      <c r="AH5" s="66" t="n">
        <f aca="false">$D5*S5</f>
        <v>0</v>
      </c>
      <c r="AI5" s="67" t="n">
        <f aca="false">AJ5/$AI$2</f>
        <v>0.0182180658257213</v>
      </c>
      <c r="AJ5" s="66" t="n">
        <f aca="false">SUM(T5:AH5)</f>
        <v>251.3</v>
      </c>
    </row>
    <row r="6" customFormat="false" ht="15" hidden="false" customHeight="false" outlineLevel="0" collapsed="false">
      <c r="A6" s="52" t="n">
        <v>3</v>
      </c>
      <c r="B6" s="53" t="s">
        <v>52</v>
      </c>
      <c r="C6" s="54" t="s">
        <v>53</v>
      </c>
      <c r="D6" s="55" t="n">
        <f aca="false">VLOOKUP(C6,'[1]PREÇO ATUAL'!$A$1:$D$1048576,4,0)</f>
        <v>89.9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57" t="n">
        <v>1</v>
      </c>
      <c r="O6" s="57"/>
      <c r="P6" s="57" t="n">
        <v>1</v>
      </c>
      <c r="Q6" s="57"/>
      <c r="R6" s="57" t="n">
        <v>1</v>
      </c>
      <c r="S6" s="57"/>
      <c r="T6" s="58" t="n">
        <f aca="false">$D6*E6</f>
        <v>0</v>
      </c>
      <c r="U6" s="58" t="n">
        <f aca="false">$D6*F6</f>
        <v>89.9</v>
      </c>
      <c r="V6" s="58" t="n">
        <f aca="false">$D6*G6</f>
        <v>0</v>
      </c>
      <c r="W6" s="58" t="n">
        <f aca="false">$D6*H6</f>
        <v>89.9</v>
      </c>
      <c r="X6" s="58" t="n">
        <f aca="false">$D6*I6</f>
        <v>0</v>
      </c>
      <c r="Y6" s="58" t="n">
        <f aca="false">$D6*J6</f>
        <v>89.9</v>
      </c>
      <c r="Z6" s="58" t="n">
        <f aca="false">$D6*K6</f>
        <v>0</v>
      </c>
      <c r="AA6" s="58" t="n">
        <f aca="false">$D6*L6</f>
        <v>89.9</v>
      </c>
      <c r="AB6" s="58" t="n">
        <f aca="false">$D6*M6</f>
        <v>0</v>
      </c>
      <c r="AC6" s="58" t="n">
        <f aca="false">$D6*N6</f>
        <v>89.9</v>
      </c>
      <c r="AD6" s="58" t="n">
        <f aca="false">$D6*O6</f>
        <v>0</v>
      </c>
      <c r="AE6" s="58" t="n">
        <f aca="false">$D6*P6</f>
        <v>89.9</v>
      </c>
      <c r="AF6" s="58" t="n">
        <f aca="false">$D6*Q6</f>
        <v>0</v>
      </c>
      <c r="AG6" s="58" t="n">
        <f aca="false">$D6*R6</f>
        <v>89.9</v>
      </c>
      <c r="AH6" s="58" t="n">
        <f aca="false">$D6*S6</f>
        <v>0</v>
      </c>
      <c r="AI6" s="59" t="n">
        <f aca="false">AJ6/$AI$2</f>
        <v>0.0456212846164999</v>
      </c>
      <c r="AJ6" s="58" t="n">
        <f aca="false">SUM(T6:AH6)</f>
        <v>629.3</v>
      </c>
    </row>
    <row r="7" customFormat="false" ht="15" hidden="false" customHeight="false" outlineLevel="0" collapsed="false">
      <c r="A7" s="60" t="n">
        <v>4</v>
      </c>
      <c r="B7" s="61" t="s">
        <v>54</v>
      </c>
      <c r="C7" s="62" t="s">
        <v>55</v>
      </c>
      <c r="D7" s="63" t="n">
        <f aca="false">VLOOKUP(C7,'[1]PREÇO ATUAL'!$A$1:$D$1048576,4,0)</f>
        <v>175.9</v>
      </c>
      <c r="E7" s="64"/>
      <c r="F7" s="64"/>
      <c r="G7" s="64"/>
      <c r="H7" s="64" t="n">
        <v>3</v>
      </c>
      <c r="I7" s="65"/>
      <c r="J7" s="65"/>
      <c r="K7" s="65"/>
      <c r="L7" s="65" t="n">
        <v>3</v>
      </c>
      <c r="M7" s="65"/>
      <c r="N7" s="65"/>
      <c r="O7" s="65"/>
      <c r="P7" s="65" t="n">
        <v>4</v>
      </c>
      <c r="Q7" s="65"/>
      <c r="R7" s="65"/>
      <c r="S7" s="65"/>
      <c r="T7" s="66" t="n">
        <f aca="false">$D7*E7</f>
        <v>0</v>
      </c>
      <c r="U7" s="66" t="n">
        <f aca="false">$D7*F7</f>
        <v>0</v>
      </c>
      <c r="V7" s="66" t="n">
        <f aca="false">$D7*G7</f>
        <v>0</v>
      </c>
      <c r="W7" s="66" t="n">
        <f aca="false">$D7*H7</f>
        <v>527.7</v>
      </c>
      <c r="X7" s="66" t="n">
        <f aca="false">$D7*I7</f>
        <v>0</v>
      </c>
      <c r="Y7" s="66" t="n">
        <f aca="false">$D7*J7</f>
        <v>0</v>
      </c>
      <c r="Z7" s="66" t="n">
        <f aca="false">$D7*K7</f>
        <v>0</v>
      </c>
      <c r="AA7" s="66" t="n">
        <f aca="false">$D7*L7</f>
        <v>527.7</v>
      </c>
      <c r="AB7" s="66" t="n">
        <f aca="false">$D7*M7</f>
        <v>0</v>
      </c>
      <c r="AC7" s="66" t="n">
        <f aca="false">$D7*N7</f>
        <v>0</v>
      </c>
      <c r="AD7" s="66" t="n">
        <f aca="false">$D7*O7</f>
        <v>0</v>
      </c>
      <c r="AE7" s="66" t="n">
        <f aca="false">$D7*P7</f>
        <v>703.6</v>
      </c>
      <c r="AF7" s="66" t="n">
        <f aca="false">$D7*Q7</f>
        <v>0</v>
      </c>
      <c r="AG7" s="66" t="n">
        <f aca="false">$D7*R7</f>
        <v>0</v>
      </c>
      <c r="AH7" s="66" t="n">
        <f aca="false">$D7*S7</f>
        <v>0</v>
      </c>
      <c r="AI7" s="67" t="n">
        <f aca="false">AJ7/$AI$2</f>
        <v>0.127519211251269</v>
      </c>
      <c r="AJ7" s="66" t="n">
        <f aca="false">SUM(T7:AH7)</f>
        <v>1759</v>
      </c>
    </row>
    <row r="8" customFormat="false" ht="15" hidden="false" customHeight="false" outlineLevel="0" collapsed="false">
      <c r="A8" s="52" t="n">
        <v>5</v>
      </c>
      <c r="B8" s="53" t="s">
        <v>56</v>
      </c>
      <c r="C8" s="54" t="s">
        <v>57</v>
      </c>
      <c r="D8" s="55" t="n">
        <f aca="false">VLOOKUP(C8,'[1]PREÇO ATUAL'!$A$1:$D$1048576,4,0)</f>
        <v>143.23</v>
      </c>
      <c r="E8" s="56"/>
      <c r="F8" s="56"/>
      <c r="G8" s="56"/>
      <c r="H8" s="56"/>
      <c r="I8" s="57"/>
      <c r="J8" s="57" t="n">
        <v>1</v>
      </c>
      <c r="K8" s="57"/>
      <c r="L8" s="57"/>
      <c r="M8" s="57"/>
      <c r="N8" s="57"/>
      <c r="O8" s="57"/>
      <c r="P8" s="57" t="n">
        <v>1</v>
      </c>
      <c r="Q8" s="57"/>
      <c r="R8" s="57"/>
      <c r="S8" s="57"/>
      <c r="T8" s="58" t="n">
        <f aca="false">$D8*E8</f>
        <v>0</v>
      </c>
      <c r="U8" s="58" t="n">
        <f aca="false">$D8*F8</f>
        <v>0</v>
      </c>
      <c r="V8" s="58" t="n">
        <f aca="false">$D8*G8</f>
        <v>0</v>
      </c>
      <c r="W8" s="58" t="n">
        <f aca="false">$D8*H8</f>
        <v>0</v>
      </c>
      <c r="X8" s="58" t="n">
        <f aca="false">$D8*I8</f>
        <v>0</v>
      </c>
      <c r="Y8" s="58" t="n">
        <f aca="false">$D8*J8</f>
        <v>143.23</v>
      </c>
      <c r="Z8" s="58" t="n">
        <f aca="false">$D8*K8</f>
        <v>0</v>
      </c>
      <c r="AA8" s="58" t="n">
        <f aca="false">$D8*L8</f>
        <v>0</v>
      </c>
      <c r="AB8" s="58" t="n">
        <f aca="false">$D8*M8</f>
        <v>0</v>
      </c>
      <c r="AC8" s="58" t="n">
        <f aca="false">$D8*N8</f>
        <v>0</v>
      </c>
      <c r="AD8" s="58" t="n">
        <f aca="false">$D8*O8</f>
        <v>0</v>
      </c>
      <c r="AE8" s="58" t="n">
        <f aca="false">$D8*P8</f>
        <v>143.23</v>
      </c>
      <c r="AF8" s="58" t="n">
        <f aca="false">$D8*Q8</f>
        <v>0</v>
      </c>
      <c r="AG8" s="58" t="n">
        <f aca="false">$D8*R8</f>
        <v>0</v>
      </c>
      <c r="AH8" s="58" t="n">
        <f aca="false">$D8*S8</f>
        <v>0</v>
      </c>
      <c r="AI8" s="59" t="n">
        <f aca="false">AJ8/$AI$2</f>
        <v>0.0207670001449906</v>
      </c>
      <c r="AJ8" s="58" t="n">
        <f aca="false">SUM(T8:AH8)</f>
        <v>286.46</v>
      </c>
    </row>
    <row r="9" customFormat="false" ht="15" hidden="false" customHeight="false" outlineLevel="0" collapsed="false">
      <c r="A9" s="60" t="n">
        <v>6</v>
      </c>
      <c r="B9" s="61" t="s">
        <v>58</v>
      </c>
      <c r="C9" s="62" t="s">
        <v>59</v>
      </c>
      <c r="D9" s="63" t="n">
        <f aca="false">VLOOKUP(C9,'[1]PREÇO ATUAL'!$A$1:$D$1048576,4,0)</f>
        <v>165.97812</v>
      </c>
      <c r="E9" s="64"/>
      <c r="F9" s="64"/>
      <c r="G9" s="64"/>
      <c r="H9" s="64"/>
      <c r="I9" s="65"/>
      <c r="J9" s="65"/>
      <c r="K9" s="65"/>
      <c r="L9" s="65"/>
      <c r="M9" s="65"/>
      <c r="N9" s="65"/>
      <c r="O9" s="65"/>
      <c r="P9" s="68" t="n">
        <v>2</v>
      </c>
      <c r="Q9" s="65"/>
      <c r="R9" s="65"/>
      <c r="S9" s="65"/>
      <c r="T9" s="66" t="n">
        <f aca="false">$D9*E9</f>
        <v>0</v>
      </c>
      <c r="U9" s="66" t="n">
        <f aca="false">$D9*F9</f>
        <v>0</v>
      </c>
      <c r="V9" s="66" t="n">
        <f aca="false">$D9*G9</f>
        <v>0</v>
      </c>
      <c r="W9" s="66" t="n">
        <f aca="false">$D9*H9</f>
        <v>0</v>
      </c>
      <c r="X9" s="66" t="n">
        <f aca="false">$D9*I9</f>
        <v>0</v>
      </c>
      <c r="Y9" s="66" t="n">
        <f aca="false">$D9*J9</f>
        <v>0</v>
      </c>
      <c r="Z9" s="66" t="n">
        <f aca="false">$D9*K9</f>
        <v>0</v>
      </c>
      <c r="AA9" s="66" t="n">
        <f aca="false">$D9*L9</f>
        <v>0</v>
      </c>
      <c r="AB9" s="66" t="n">
        <f aca="false">$D9*M9</f>
        <v>0</v>
      </c>
      <c r="AC9" s="66" t="n">
        <f aca="false">$D9*N9</f>
        <v>0</v>
      </c>
      <c r="AD9" s="66" t="n">
        <f aca="false">$D9*O9</f>
        <v>0</v>
      </c>
      <c r="AE9" s="66" t="n">
        <f aca="false">$D9*P9</f>
        <v>331.95624</v>
      </c>
      <c r="AF9" s="66" t="n">
        <f aca="false">$D9*Q9</f>
        <v>0</v>
      </c>
      <c r="AG9" s="66" t="n">
        <f aca="false">$D9*R9</f>
        <v>0</v>
      </c>
      <c r="AH9" s="66" t="n">
        <f aca="false">$D9*S9</f>
        <v>0</v>
      </c>
      <c r="AI9" s="67" t="n">
        <f aca="false">AJ9/$AI$2</f>
        <v>0.0240652631578947</v>
      </c>
      <c r="AJ9" s="66" t="n">
        <f aca="false">SUM(T9:AH9)</f>
        <v>331.95624</v>
      </c>
    </row>
    <row r="10" customFormat="false" ht="15" hidden="false" customHeight="false" outlineLevel="0" collapsed="false">
      <c r="A10" s="52" t="n">
        <v>7</v>
      </c>
      <c r="B10" s="53" t="s">
        <v>60</v>
      </c>
      <c r="C10" s="54" t="s">
        <v>61</v>
      </c>
      <c r="D10" s="55" t="n">
        <f aca="false">VLOOKUP(C10,'[1]PREÇO ATUAL'!$A$1:$D$1048576,4,0)</f>
        <v>33.6224930838505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58" t="n">
        <f aca="false">$D10*E10</f>
        <v>0</v>
      </c>
      <c r="U10" s="58" t="n">
        <f aca="false">$D10*F10</f>
        <v>0</v>
      </c>
      <c r="V10" s="58" t="n">
        <f aca="false">$D10*G10</f>
        <v>0</v>
      </c>
      <c r="W10" s="58" t="n">
        <f aca="false">$D10*H10</f>
        <v>0</v>
      </c>
      <c r="X10" s="58" t="n">
        <f aca="false">$D10*I10</f>
        <v>0</v>
      </c>
      <c r="Y10" s="58" t="n">
        <f aca="false">$D10*J10</f>
        <v>0</v>
      </c>
      <c r="Z10" s="58" t="n">
        <f aca="false">$D10*K10</f>
        <v>0</v>
      </c>
      <c r="AA10" s="58" t="n">
        <f aca="false">$D10*L10</f>
        <v>0</v>
      </c>
      <c r="AB10" s="58" t="n">
        <f aca="false">$D10*M10</f>
        <v>0</v>
      </c>
      <c r="AC10" s="58" t="n">
        <f aca="false">$D10*N10</f>
        <v>0</v>
      </c>
      <c r="AD10" s="58" t="n">
        <f aca="false">$D10*O10</f>
        <v>0</v>
      </c>
      <c r="AE10" s="58" t="n">
        <f aca="false">$D10*P10</f>
        <v>0</v>
      </c>
      <c r="AF10" s="58" t="n">
        <f aca="false">$D10*Q10</f>
        <v>0</v>
      </c>
      <c r="AG10" s="58" t="n">
        <f aca="false">$D10*R10</f>
        <v>0</v>
      </c>
      <c r="AH10" s="58" t="n">
        <f aca="false">$D10*S10</f>
        <v>0</v>
      </c>
      <c r="AI10" s="59" t="n">
        <f aca="false">AJ10/$AI$2</f>
        <v>0</v>
      </c>
      <c r="AJ10" s="58" t="n">
        <f aca="false">SUM(T10:AH10)</f>
        <v>0</v>
      </c>
    </row>
    <row r="11" customFormat="false" ht="15" hidden="false" customHeight="false" outlineLevel="0" collapsed="false">
      <c r="A11" s="60" t="n">
        <v>8</v>
      </c>
      <c r="B11" s="61" t="s">
        <v>62</v>
      </c>
      <c r="C11" s="62" t="s">
        <v>63</v>
      </c>
      <c r="D11" s="63" t="n">
        <f aca="false">VLOOKUP(C11,'[1]PREÇO ATUAL'!$A$1:$D$1048576,4,0)</f>
        <v>81.26</v>
      </c>
      <c r="E11" s="70" t="n">
        <v>2.54</v>
      </c>
      <c r="F11" s="70" t="n">
        <v>2.54</v>
      </c>
      <c r="G11" s="70" t="n">
        <v>2.54</v>
      </c>
      <c r="H11" s="70" t="n">
        <v>2.54</v>
      </c>
      <c r="I11" s="63" t="n">
        <v>2.54</v>
      </c>
      <c r="J11" s="63" t="n">
        <v>2.54</v>
      </c>
      <c r="K11" s="63" t="n">
        <v>2.54</v>
      </c>
      <c r="L11" s="63" t="n">
        <v>2.54</v>
      </c>
      <c r="M11" s="63" t="n">
        <v>2.54</v>
      </c>
      <c r="N11" s="63" t="n">
        <v>2.54</v>
      </c>
      <c r="O11" s="63" t="n">
        <v>2.54</v>
      </c>
      <c r="P11" s="63" t="n">
        <v>2.54</v>
      </c>
      <c r="Q11" s="63" t="n">
        <v>2.54</v>
      </c>
      <c r="R11" s="63" t="n">
        <v>2.54</v>
      </c>
      <c r="S11" s="63" t="n">
        <v>2.54</v>
      </c>
      <c r="T11" s="66" t="n">
        <f aca="false">$D11*E11</f>
        <v>206.4004</v>
      </c>
      <c r="U11" s="66" t="n">
        <f aca="false">$D11*F11</f>
        <v>206.4004</v>
      </c>
      <c r="V11" s="66" t="n">
        <f aca="false">$D11*G11</f>
        <v>206.4004</v>
      </c>
      <c r="W11" s="66" t="n">
        <f aca="false">$D11*H11</f>
        <v>206.4004</v>
      </c>
      <c r="X11" s="66" t="n">
        <f aca="false">$D11*I11</f>
        <v>206.4004</v>
      </c>
      <c r="Y11" s="66" t="n">
        <f aca="false">$D11*J11</f>
        <v>206.4004</v>
      </c>
      <c r="Z11" s="66" t="n">
        <f aca="false">$D11*K11</f>
        <v>206.4004</v>
      </c>
      <c r="AA11" s="66" t="n">
        <f aca="false">$D11*L11</f>
        <v>206.4004</v>
      </c>
      <c r="AB11" s="66" t="n">
        <f aca="false">$D11*M11</f>
        <v>206.4004</v>
      </c>
      <c r="AC11" s="66" t="n">
        <f aca="false">$D11*N11</f>
        <v>206.4004</v>
      </c>
      <c r="AD11" s="66" t="n">
        <f aca="false">$D11*O11</f>
        <v>206.4004</v>
      </c>
      <c r="AE11" s="66" t="n">
        <f aca="false">$D11*P11</f>
        <v>206.4004</v>
      </c>
      <c r="AF11" s="66" t="n">
        <f aca="false">$D11*Q11</f>
        <v>206.4004</v>
      </c>
      <c r="AG11" s="66" t="n">
        <f aca="false">$D11*R11</f>
        <v>206.4004</v>
      </c>
      <c r="AH11" s="66" t="n">
        <f aca="false">$D11*S11</f>
        <v>206.4004</v>
      </c>
      <c r="AI11" s="67" t="n">
        <f aca="false">AJ11/$AI$2</f>
        <v>0.224445846020009</v>
      </c>
      <c r="AJ11" s="66" t="n">
        <f aca="false">SUM(T11:AH11)</f>
        <v>3096.006</v>
      </c>
    </row>
    <row r="12" customFormat="false" ht="15" hidden="false" customHeight="false" outlineLevel="0" collapsed="false">
      <c r="A12" s="52" t="n">
        <v>9</v>
      </c>
      <c r="B12" s="53" t="s">
        <v>64</v>
      </c>
      <c r="C12" s="54" t="s">
        <v>65</v>
      </c>
      <c r="D12" s="55" t="n">
        <f aca="false">VLOOKUP(C12,'[1]PREÇO ATUAL'!$A$1:$D$1048576,4,0)</f>
        <v>342</v>
      </c>
      <c r="E12" s="69" t="n">
        <v>0.85</v>
      </c>
      <c r="F12" s="69" t="n">
        <v>1.2</v>
      </c>
      <c r="G12" s="69" t="n">
        <v>0.9</v>
      </c>
      <c r="H12" s="69" t="n">
        <v>2.15</v>
      </c>
      <c r="I12" s="69" t="n">
        <v>1</v>
      </c>
      <c r="J12" s="69" t="n">
        <v>1.45</v>
      </c>
      <c r="K12" s="69" t="n">
        <v>0.85</v>
      </c>
      <c r="L12" s="69" t="n">
        <v>2.15</v>
      </c>
      <c r="M12" s="69" t="n">
        <v>0.9</v>
      </c>
      <c r="N12" s="69" t="n">
        <v>1.35</v>
      </c>
      <c r="O12" s="69" t="n">
        <v>0.85</v>
      </c>
      <c r="P12" s="69" t="n">
        <v>1.5</v>
      </c>
      <c r="Q12" s="69" t="n">
        <v>0.85</v>
      </c>
      <c r="R12" s="69" t="n">
        <v>1.2</v>
      </c>
      <c r="S12" s="69" t="n">
        <v>1.05</v>
      </c>
      <c r="T12" s="58" t="n">
        <f aca="false">D12*E12</f>
        <v>290.7</v>
      </c>
      <c r="U12" s="58" t="n">
        <f aca="false">$D12*F12</f>
        <v>410.4</v>
      </c>
      <c r="V12" s="58" t="n">
        <f aca="false">$D12*G12</f>
        <v>307.8</v>
      </c>
      <c r="W12" s="58" t="n">
        <f aca="false">$D12*H12</f>
        <v>735.3</v>
      </c>
      <c r="X12" s="58" t="n">
        <f aca="false">$D12*I12</f>
        <v>342</v>
      </c>
      <c r="Y12" s="58" t="n">
        <f aca="false">$D12*J12</f>
        <v>495.9</v>
      </c>
      <c r="Z12" s="58" t="n">
        <f aca="false">$D12*K12</f>
        <v>290.7</v>
      </c>
      <c r="AA12" s="58" t="n">
        <f aca="false">$D12*L12</f>
        <v>735.3</v>
      </c>
      <c r="AB12" s="58" t="n">
        <f aca="false">$D12*M12</f>
        <v>307.8</v>
      </c>
      <c r="AC12" s="58" t="n">
        <f aca="false">$D12*N12</f>
        <v>461.7</v>
      </c>
      <c r="AD12" s="58" t="n">
        <f aca="false">$D12*O12</f>
        <v>290.7</v>
      </c>
      <c r="AE12" s="58" t="n">
        <f aca="false">$D12*P12</f>
        <v>513</v>
      </c>
      <c r="AF12" s="58" t="n">
        <f aca="false">$D12*Q12</f>
        <v>290.7</v>
      </c>
      <c r="AG12" s="58" t="n">
        <f aca="false">$D12*R12</f>
        <v>410.4</v>
      </c>
      <c r="AH12" s="58" t="n">
        <f aca="false">$D12*S12</f>
        <v>359.1</v>
      </c>
      <c r="AI12" s="59" t="n">
        <f aca="false">AJ12/$AI$2</f>
        <v>0.452479338842975</v>
      </c>
      <c r="AJ12" s="58" t="n">
        <f aca="false">SUM(T12:AH12)</f>
        <v>6241.5</v>
      </c>
    </row>
    <row r="13" customFormat="false" ht="15" hidden="false" customHeight="false" outlineLevel="0" collapsed="false">
      <c r="H13" s="71"/>
      <c r="L13" s="71"/>
    </row>
    <row r="14" customFormat="false" ht="25.5" hidden="false" customHeight="true" outlineLevel="0" collapsed="false">
      <c r="A14" s="34" t="s">
        <v>66</v>
      </c>
      <c r="B14" s="34"/>
      <c r="C14" s="34"/>
      <c r="D14" s="34"/>
      <c r="E14" s="35" t="s">
        <v>29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6" t="s">
        <v>30</v>
      </c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7" t="s">
        <v>31</v>
      </c>
      <c r="AJ14" s="37"/>
    </row>
    <row r="15" customFormat="false" ht="15" hidden="false" customHeight="false" outlineLevel="0" collapsed="false">
      <c r="A15" s="38"/>
      <c r="B15" s="39"/>
      <c r="C15" s="39"/>
      <c r="D15" s="40"/>
      <c r="E15" s="41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3" t="n">
        <f aca="false">MROUND(SUM(T17:T26),1)</f>
        <v>844</v>
      </c>
      <c r="U15" s="43" t="n">
        <f aca="false">MROUND(SUM(U17:U26),1)</f>
        <v>1090</v>
      </c>
      <c r="V15" s="43" t="n">
        <f aca="false">MROUND(SUM(V17:V26),1)</f>
        <v>862</v>
      </c>
      <c r="W15" s="43" t="n">
        <f aca="false">MROUND(SUM(W17:W26),1)</f>
        <v>1960</v>
      </c>
      <c r="X15" s="43" t="n">
        <f aca="false">MROUND(SUM(X17:X26),1)</f>
        <v>896</v>
      </c>
      <c r="Y15" s="43" t="n">
        <f aca="false">MROUND(SUM(Y17:Y26),1)</f>
        <v>1175</v>
      </c>
      <c r="Z15" s="43" t="n">
        <f aca="false">MROUND(SUM(Z17:Z26),1)</f>
        <v>844</v>
      </c>
      <c r="AA15" s="43" t="n">
        <f aca="false">MROUND(SUM(AA17:AA26),1)</f>
        <v>1960</v>
      </c>
      <c r="AB15" s="43" t="n">
        <f aca="false">MROUND(SUM(AB17:AB26),1)</f>
        <v>862</v>
      </c>
      <c r="AC15" s="43" t="n">
        <f aca="false">MROUND(SUM(AC17:AC26),1)</f>
        <v>1141</v>
      </c>
      <c r="AD15" s="43" t="n">
        <f aca="false">MROUND(SUM(AD17:AD26),1)</f>
        <v>844</v>
      </c>
      <c r="AE15" s="43" t="n">
        <f aca="false">MROUND(SUM(AE17:AE26),1)</f>
        <v>1720</v>
      </c>
      <c r="AF15" s="43" t="n">
        <f aca="false">MROUND(SUM(AF17:AF26),1)</f>
        <v>844</v>
      </c>
      <c r="AG15" s="43" t="n">
        <f aca="false">MROUND(SUM(AG17:AG26),1)</f>
        <v>1090</v>
      </c>
      <c r="AH15" s="43" t="n">
        <f aca="false">MROUND(SUM(AH17:AH26),1)</f>
        <v>913</v>
      </c>
      <c r="AI15" s="44" t="n">
        <f aca="false">SUM(T15:AH15)</f>
        <v>17045</v>
      </c>
      <c r="AJ15" s="44"/>
    </row>
    <row r="16" customFormat="false" ht="15" hidden="false" customHeight="false" outlineLevel="0" collapsed="false">
      <c r="A16" s="45" t="s">
        <v>32</v>
      </c>
      <c r="B16" s="45" t="s">
        <v>33</v>
      </c>
      <c r="C16" s="46" t="s">
        <v>34</v>
      </c>
      <c r="D16" s="47" t="s">
        <v>35</v>
      </c>
      <c r="E16" s="48" t="s">
        <v>36</v>
      </c>
      <c r="F16" s="48" t="s">
        <v>37</v>
      </c>
      <c r="G16" s="48" t="s">
        <v>38</v>
      </c>
      <c r="H16" s="48" t="s">
        <v>39</v>
      </c>
      <c r="I16" s="48" t="s">
        <v>40</v>
      </c>
      <c r="J16" s="48" t="s">
        <v>41</v>
      </c>
      <c r="K16" s="48" t="s">
        <v>42</v>
      </c>
      <c r="L16" s="48" t="s">
        <v>43</v>
      </c>
      <c r="M16" s="48" t="s">
        <v>44</v>
      </c>
      <c r="N16" s="49" t="s">
        <v>45</v>
      </c>
      <c r="O16" s="49" t="n">
        <v>11</v>
      </c>
      <c r="P16" s="49" t="n">
        <v>12</v>
      </c>
      <c r="Q16" s="49" t="n">
        <v>13</v>
      </c>
      <c r="R16" s="49" t="n">
        <v>14</v>
      </c>
      <c r="S16" s="49" t="n">
        <v>15</v>
      </c>
      <c r="T16" s="48" t="n">
        <v>10000</v>
      </c>
      <c r="U16" s="48" t="n">
        <v>20000</v>
      </c>
      <c r="V16" s="48" t="n">
        <v>30000</v>
      </c>
      <c r="W16" s="48" t="n">
        <v>40000</v>
      </c>
      <c r="X16" s="48" t="n">
        <v>50000</v>
      </c>
      <c r="Y16" s="48" t="n">
        <v>60000</v>
      </c>
      <c r="Z16" s="48" t="n">
        <v>70000</v>
      </c>
      <c r="AA16" s="48" t="n">
        <v>80000</v>
      </c>
      <c r="AB16" s="48" t="n">
        <v>90000</v>
      </c>
      <c r="AC16" s="48" t="n">
        <v>100000</v>
      </c>
      <c r="AD16" s="50" t="n">
        <f aca="false">AC16+10000</f>
        <v>110000</v>
      </c>
      <c r="AE16" s="50" t="n">
        <f aca="false">AD16+10000</f>
        <v>120000</v>
      </c>
      <c r="AF16" s="50" t="n">
        <f aca="false">AE16+10000</f>
        <v>130000</v>
      </c>
      <c r="AG16" s="50" t="n">
        <f aca="false">AF16+10000</f>
        <v>140000</v>
      </c>
      <c r="AH16" s="50" t="n">
        <f aca="false">AG16+10000</f>
        <v>150000</v>
      </c>
      <c r="AI16" s="51" t="s">
        <v>46</v>
      </c>
      <c r="AJ16" s="45" t="s">
        <v>47</v>
      </c>
    </row>
    <row r="17" customFormat="false" ht="15" hidden="false" customHeight="false" outlineLevel="0" collapsed="false">
      <c r="A17" s="52" t="n">
        <v>1</v>
      </c>
      <c r="B17" s="72" t="s">
        <v>67</v>
      </c>
      <c r="C17" s="54" t="s">
        <v>49</v>
      </c>
      <c r="D17" s="55" t="n">
        <f aca="false">VLOOKUP(C17,'[1]PREÇO ATUAL'!$A$1:$D$1048576,4,0)</f>
        <v>79.9</v>
      </c>
      <c r="E17" s="56" t="n">
        <v>1</v>
      </c>
      <c r="F17" s="56" t="n">
        <v>1</v>
      </c>
      <c r="G17" s="56" t="n">
        <v>1</v>
      </c>
      <c r="H17" s="56" t="n">
        <v>1</v>
      </c>
      <c r="I17" s="57" t="n">
        <v>1</v>
      </c>
      <c r="J17" s="57" t="n">
        <v>1</v>
      </c>
      <c r="K17" s="57" t="n">
        <v>1</v>
      </c>
      <c r="L17" s="57" t="n">
        <v>1</v>
      </c>
      <c r="M17" s="57" t="n">
        <v>1</v>
      </c>
      <c r="N17" s="57" t="n">
        <v>1</v>
      </c>
      <c r="O17" s="57" t="n">
        <v>1</v>
      </c>
      <c r="P17" s="57" t="n">
        <v>1</v>
      </c>
      <c r="Q17" s="57" t="n">
        <v>1</v>
      </c>
      <c r="R17" s="57" t="n">
        <v>1</v>
      </c>
      <c r="S17" s="57" t="n">
        <v>1</v>
      </c>
      <c r="T17" s="58" t="n">
        <f aca="false">$D17*E17</f>
        <v>79.9</v>
      </c>
      <c r="U17" s="58" t="n">
        <f aca="false">$D17*F17</f>
        <v>79.9</v>
      </c>
      <c r="V17" s="58" t="n">
        <f aca="false">$D17*G17</f>
        <v>79.9</v>
      </c>
      <c r="W17" s="58" t="n">
        <f aca="false">$D17*H17</f>
        <v>79.9</v>
      </c>
      <c r="X17" s="58" t="n">
        <f aca="false">$D17*I17</f>
        <v>79.9</v>
      </c>
      <c r="Y17" s="58" t="n">
        <f aca="false">$D17*J17</f>
        <v>79.9</v>
      </c>
      <c r="Z17" s="58" t="n">
        <f aca="false">$D17*K17</f>
        <v>79.9</v>
      </c>
      <c r="AA17" s="58" t="n">
        <f aca="false">$D17*L17</f>
        <v>79.9</v>
      </c>
      <c r="AB17" s="58" t="n">
        <f aca="false">$D17*M17</f>
        <v>79.9</v>
      </c>
      <c r="AC17" s="58" t="n">
        <f aca="false">$D17*N17</f>
        <v>79.9</v>
      </c>
      <c r="AD17" s="58" t="n">
        <f aca="false">$D17*O17</f>
        <v>79.9</v>
      </c>
      <c r="AE17" s="58" t="n">
        <f aca="false">$D17*P17</f>
        <v>79.9</v>
      </c>
      <c r="AF17" s="58" t="n">
        <f aca="false">$D17*Q17</f>
        <v>79.9</v>
      </c>
      <c r="AG17" s="58" t="n">
        <f aca="false">$D17*R17</f>
        <v>79.9</v>
      </c>
      <c r="AH17" s="58" t="n">
        <f aca="false">$D17*S17</f>
        <v>79.9</v>
      </c>
      <c r="AI17" s="59" t="n">
        <f aca="false">AJ17/$AI$2</f>
        <v>0.0868856024358417</v>
      </c>
      <c r="AJ17" s="58" t="n">
        <f aca="false">SUM(T17:AH17)</f>
        <v>1198.5</v>
      </c>
    </row>
    <row r="18" customFormat="false" ht="15" hidden="false" customHeight="false" outlineLevel="0" collapsed="false">
      <c r="A18" s="60" t="n">
        <v>2</v>
      </c>
      <c r="B18" s="73" t="s">
        <v>50</v>
      </c>
      <c r="C18" s="62" t="s">
        <v>51</v>
      </c>
      <c r="D18" s="63" t="n">
        <f aca="false">VLOOKUP(C18,'[1]PREÇO ATUAL'!$A$1:$D$1048576,4,0)</f>
        <v>35.9</v>
      </c>
      <c r="E18" s="64"/>
      <c r="F18" s="64" t="n">
        <v>1</v>
      </c>
      <c r="G18" s="64"/>
      <c r="H18" s="64" t="n">
        <v>1</v>
      </c>
      <c r="I18" s="65"/>
      <c r="J18" s="64" t="n">
        <v>1</v>
      </c>
      <c r="K18" s="65"/>
      <c r="L18" s="64" t="n">
        <v>1</v>
      </c>
      <c r="M18" s="65"/>
      <c r="N18" s="64" t="n">
        <v>1</v>
      </c>
      <c r="O18" s="65"/>
      <c r="P18" s="64" t="n">
        <v>1</v>
      </c>
      <c r="Q18" s="65"/>
      <c r="R18" s="64" t="n">
        <v>1</v>
      </c>
      <c r="S18" s="65"/>
      <c r="T18" s="66" t="n">
        <f aca="false">$D18*E18</f>
        <v>0</v>
      </c>
      <c r="U18" s="66" t="n">
        <f aca="false">$D18*F18</f>
        <v>35.9</v>
      </c>
      <c r="V18" s="66" t="n">
        <f aca="false">$D18*G18</f>
        <v>0</v>
      </c>
      <c r="W18" s="66" t="n">
        <f aca="false">$D18*H18</f>
        <v>35.9</v>
      </c>
      <c r="X18" s="66" t="n">
        <f aca="false">$D18*I18</f>
        <v>0</v>
      </c>
      <c r="Y18" s="66" t="n">
        <f aca="false">$D18*J18</f>
        <v>35.9</v>
      </c>
      <c r="Z18" s="66" t="n">
        <f aca="false">$D18*K18</f>
        <v>0</v>
      </c>
      <c r="AA18" s="66" t="n">
        <f aca="false">$D18*L18</f>
        <v>35.9</v>
      </c>
      <c r="AB18" s="66" t="n">
        <f aca="false">$D18*M18</f>
        <v>0</v>
      </c>
      <c r="AC18" s="66" t="n">
        <f aca="false">$D18*N18</f>
        <v>35.9</v>
      </c>
      <c r="AD18" s="66" t="n">
        <f aca="false">$D18*O18</f>
        <v>0</v>
      </c>
      <c r="AE18" s="66" t="n">
        <f aca="false">$D18*P18</f>
        <v>35.9</v>
      </c>
      <c r="AF18" s="66" t="n">
        <f aca="false">$D18*Q18</f>
        <v>0</v>
      </c>
      <c r="AG18" s="66" t="n">
        <f aca="false">$D18*R18</f>
        <v>35.9</v>
      </c>
      <c r="AH18" s="66" t="n">
        <f aca="false">$D18*S18</f>
        <v>0</v>
      </c>
      <c r="AI18" s="67" t="n">
        <f aca="false">AJ18/$AI$2</f>
        <v>0.0182180658257213</v>
      </c>
      <c r="AJ18" s="66" t="n">
        <f aca="false">SUM(T18:AH18)</f>
        <v>251.3</v>
      </c>
    </row>
    <row r="19" customFormat="false" ht="15" hidden="false" customHeight="false" outlineLevel="0" collapsed="false">
      <c r="A19" s="52" t="n">
        <v>3</v>
      </c>
      <c r="B19" s="72" t="s">
        <v>68</v>
      </c>
      <c r="C19" s="54" t="s">
        <v>53</v>
      </c>
      <c r="D19" s="55" t="n">
        <f aca="false">VLOOKUP(C19,'[1]PREÇO ATUAL'!$A$1:$D$1048576,4,0)</f>
        <v>89.9</v>
      </c>
      <c r="E19" s="56"/>
      <c r="F19" s="56" t="n">
        <v>1</v>
      </c>
      <c r="G19" s="56"/>
      <c r="H19" s="56" t="n">
        <v>1</v>
      </c>
      <c r="I19" s="57"/>
      <c r="J19" s="56" t="n">
        <v>1</v>
      </c>
      <c r="K19" s="57"/>
      <c r="L19" s="56" t="n">
        <v>1</v>
      </c>
      <c r="M19" s="57"/>
      <c r="N19" s="56" t="n">
        <v>1</v>
      </c>
      <c r="O19" s="57"/>
      <c r="P19" s="56" t="n">
        <v>1</v>
      </c>
      <c r="Q19" s="57"/>
      <c r="R19" s="56" t="n">
        <v>1</v>
      </c>
      <c r="S19" s="57"/>
      <c r="T19" s="58" t="n">
        <f aca="false">$D19*E19</f>
        <v>0</v>
      </c>
      <c r="U19" s="58" t="n">
        <f aca="false">$D19*F19</f>
        <v>89.9</v>
      </c>
      <c r="V19" s="58" t="n">
        <f aca="false">$D19*G19</f>
        <v>0</v>
      </c>
      <c r="W19" s="58" t="n">
        <f aca="false">$D19*H19</f>
        <v>89.9</v>
      </c>
      <c r="X19" s="58" t="n">
        <f aca="false">$D19*I19</f>
        <v>0</v>
      </c>
      <c r="Y19" s="58" t="n">
        <f aca="false">$D19*J19</f>
        <v>89.9</v>
      </c>
      <c r="Z19" s="58" t="n">
        <f aca="false">$D19*K19</f>
        <v>0</v>
      </c>
      <c r="AA19" s="58" t="n">
        <f aca="false">$D19*L19</f>
        <v>89.9</v>
      </c>
      <c r="AB19" s="58" t="n">
        <f aca="false">$D19*M19</f>
        <v>0</v>
      </c>
      <c r="AC19" s="58" t="n">
        <f aca="false">$D19*N19</f>
        <v>89.9</v>
      </c>
      <c r="AD19" s="58" t="n">
        <f aca="false">$D19*O19</f>
        <v>0</v>
      </c>
      <c r="AE19" s="58" t="n">
        <f aca="false">$D19*P19</f>
        <v>89.9</v>
      </c>
      <c r="AF19" s="58" t="n">
        <f aca="false">$D19*Q19</f>
        <v>0</v>
      </c>
      <c r="AG19" s="58" t="n">
        <f aca="false">$D19*R19</f>
        <v>89.9</v>
      </c>
      <c r="AH19" s="58" t="n">
        <f aca="false">$D19*S19</f>
        <v>0</v>
      </c>
      <c r="AI19" s="59" t="n">
        <f aca="false">AJ19/$AI$2</f>
        <v>0.0456212846164999</v>
      </c>
      <c r="AJ19" s="58" t="n">
        <f aca="false">SUM(T19:AH19)</f>
        <v>629.3</v>
      </c>
    </row>
    <row r="20" customFormat="false" ht="15" hidden="false" customHeight="false" outlineLevel="0" collapsed="false">
      <c r="A20" s="60" t="n">
        <v>4</v>
      </c>
      <c r="B20" s="73" t="s">
        <v>69</v>
      </c>
      <c r="C20" s="62" t="s">
        <v>70</v>
      </c>
      <c r="D20" s="63" t="n">
        <f aca="false">VLOOKUP(C20,'[1]PREÇO ATUAL'!$A$1:$D$1048576,4,0)</f>
        <v>199.05</v>
      </c>
      <c r="E20" s="64" t="n">
        <v>1</v>
      </c>
      <c r="F20" s="64" t="n">
        <v>1</v>
      </c>
      <c r="G20" s="64" t="n">
        <v>1</v>
      </c>
      <c r="H20" s="64" t="n">
        <v>1</v>
      </c>
      <c r="I20" s="65" t="n">
        <v>1</v>
      </c>
      <c r="J20" s="65" t="n">
        <v>1</v>
      </c>
      <c r="K20" s="65" t="n">
        <v>1</v>
      </c>
      <c r="L20" s="65" t="n">
        <v>1</v>
      </c>
      <c r="M20" s="65" t="n">
        <v>1</v>
      </c>
      <c r="N20" s="65" t="n">
        <v>1</v>
      </c>
      <c r="O20" s="65" t="n">
        <v>1</v>
      </c>
      <c r="P20" s="65" t="n">
        <v>1</v>
      </c>
      <c r="Q20" s="65" t="n">
        <v>1</v>
      </c>
      <c r="R20" s="65" t="n">
        <v>1</v>
      </c>
      <c r="S20" s="65" t="n">
        <v>1</v>
      </c>
      <c r="T20" s="66" t="n">
        <f aca="false">$D20*E20</f>
        <v>199.05</v>
      </c>
      <c r="U20" s="66" t="n">
        <f aca="false">$D20*F20</f>
        <v>199.05</v>
      </c>
      <c r="V20" s="66" t="n">
        <f aca="false">$D20*G20</f>
        <v>199.05</v>
      </c>
      <c r="W20" s="66" t="n">
        <f aca="false">$D20*H20</f>
        <v>199.05</v>
      </c>
      <c r="X20" s="66" t="n">
        <f aca="false">$D20*I20</f>
        <v>199.05</v>
      </c>
      <c r="Y20" s="66" t="n">
        <f aca="false">$D20*J20</f>
        <v>199.05</v>
      </c>
      <c r="Z20" s="66" t="n">
        <f aca="false">$D20*K20</f>
        <v>199.05</v>
      </c>
      <c r="AA20" s="66" t="n">
        <f aca="false">$D20*L20</f>
        <v>199.05</v>
      </c>
      <c r="AB20" s="66" t="n">
        <f aca="false">$D20*M20</f>
        <v>199.05</v>
      </c>
      <c r="AC20" s="66" t="n">
        <f aca="false">$D20*N20</f>
        <v>199.05</v>
      </c>
      <c r="AD20" s="66" t="n">
        <f aca="false">$D20*O20</f>
        <v>199.05</v>
      </c>
      <c r="AE20" s="66" t="n">
        <f aca="false">$D20*P20</f>
        <v>199.05</v>
      </c>
      <c r="AF20" s="66" t="n">
        <f aca="false">$D20*Q20</f>
        <v>199.05</v>
      </c>
      <c r="AG20" s="66" t="n">
        <f aca="false">$D20*R20</f>
        <v>199.05</v>
      </c>
      <c r="AH20" s="66" t="n">
        <f aca="false">$D20*S20</f>
        <v>199.05</v>
      </c>
      <c r="AI20" s="67" t="n">
        <f aca="false">AJ20/$AI$2</f>
        <v>0.216452805567638</v>
      </c>
      <c r="AJ20" s="66" t="n">
        <f aca="false">SUM(T20:AH20)</f>
        <v>2985.75</v>
      </c>
    </row>
    <row r="21" customFormat="false" ht="25.5" hidden="false" customHeight="false" outlineLevel="0" collapsed="false">
      <c r="A21" s="52" t="n">
        <v>5</v>
      </c>
      <c r="B21" s="72" t="s">
        <v>71</v>
      </c>
      <c r="C21" s="54" t="s">
        <v>55</v>
      </c>
      <c r="D21" s="55" t="n">
        <f aca="false">VLOOKUP(C21,'[1]PREÇO ATUAL'!$A$1:$D$1048576,4,0)</f>
        <v>175.9</v>
      </c>
      <c r="E21" s="56"/>
      <c r="F21" s="56"/>
      <c r="G21" s="56"/>
      <c r="H21" s="56" t="n">
        <v>3</v>
      </c>
      <c r="I21" s="57"/>
      <c r="J21" s="57"/>
      <c r="K21" s="57"/>
      <c r="L21" s="56" t="n">
        <v>3</v>
      </c>
      <c r="M21" s="57"/>
      <c r="N21" s="57"/>
      <c r="O21" s="57"/>
      <c r="P21" s="56" t="n">
        <v>3</v>
      </c>
      <c r="Q21" s="57"/>
      <c r="R21" s="57"/>
      <c r="S21" s="57"/>
      <c r="T21" s="58" t="n">
        <f aca="false">$D21*E21</f>
        <v>0</v>
      </c>
      <c r="U21" s="58" t="n">
        <f aca="false">$D21*F21</f>
        <v>0</v>
      </c>
      <c r="V21" s="58" t="n">
        <f aca="false">$D21*G21</f>
        <v>0</v>
      </c>
      <c r="W21" s="58" t="n">
        <f aca="false">$D21*H21</f>
        <v>527.7</v>
      </c>
      <c r="X21" s="58" t="n">
        <f aca="false">$D21*I21</f>
        <v>0</v>
      </c>
      <c r="Y21" s="58" t="n">
        <f aca="false">$D21*J21</f>
        <v>0</v>
      </c>
      <c r="Z21" s="58" t="n">
        <f aca="false">$D21*K21</f>
        <v>0</v>
      </c>
      <c r="AA21" s="58" t="n">
        <f aca="false">$D21*L21</f>
        <v>527.7</v>
      </c>
      <c r="AB21" s="58" t="n">
        <f aca="false">$D21*M21</f>
        <v>0</v>
      </c>
      <c r="AC21" s="58" t="n">
        <f aca="false">$D21*N21</f>
        <v>0</v>
      </c>
      <c r="AD21" s="58" t="n">
        <f aca="false">$D21*O21</f>
        <v>0</v>
      </c>
      <c r="AE21" s="58" t="n">
        <f aca="false">$D21*P21</f>
        <v>527.7</v>
      </c>
      <c r="AF21" s="58" t="n">
        <f aca="false">$D21*Q21</f>
        <v>0</v>
      </c>
      <c r="AG21" s="58" t="n">
        <f aca="false">$D21*R21</f>
        <v>0</v>
      </c>
      <c r="AH21" s="58" t="n">
        <f aca="false">$D21*S21</f>
        <v>0</v>
      </c>
      <c r="AI21" s="59" t="n">
        <f aca="false">AJ21/$AI$2</f>
        <v>0.114767290126142</v>
      </c>
      <c r="AJ21" s="58" t="n">
        <f aca="false">SUM(T21:AH21)</f>
        <v>1583.1</v>
      </c>
    </row>
    <row r="22" customFormat="false" ht="25.5" hidden="false" customHeight="false" outlineLevel="0" collapsed="false">
      <c r="A22" s="60" t="n">
        <v>6</v>
      </c>
      <c r="B22" s="73" t="s">
        <v>72</v>
      </c>
      <c r="C22" s="62" t="s">
        <v>57</v>
      </c>
      <c r="D22" s="63" t="n">
        <f aca="false">VLOOKUP(C22,'[1]PREÇO ATUAL'!$A$1:$D$1048576,4,0)</f>
        <v>143.23</v>
      </c>
      <c r="E22" s="64"/>
      <c r="F22" s="64"/>
      <c r="G22" s="64"/>
      <c r="H22" s="64"/>
      <c r="I22" s="65"/>
      <c r="J22" s="65"/>
      <c r="K22" s="65"/>
      <c r="L22" s="65"/>
      <c r="M22" s="65"/>
      <c r="N22" s="65"/>
      <c r="O22" s="65"/>
      <c r="P22" s="68"/>
      <c r="Q22" s="65"/>
      <c r="R22" s="65"/>
      <c r="S22" s="65"/>
      <c r="T22" s="66" t="n">
        <f aca="false">$D22*E22</f>
        <v>0</v>
      </c>
      <c r="U22" s="66" t="n">
        <f aca="false">$D22*F22</f>
        <v>0</v>
      </c>
      <c r="V22" s="66" t="n">
        <f aca="false">$D22*G22</f>
        <v>0</v>
      </c>
      <c r="W22" s="66" t="n">
        <f aca="false">$D22*H22</f>
        <v>0</v>
      </c>
      <c r="X22" s="66" t="n">
        <f aca="false">$D22*I22</f>
        <v>0</v>
      </c>
      <c r="Y22" s="66" t="n">
        <f aca="false">$D22*J22</f>
        <v>0</v>
      </c>
      <c r="Z22" s="66" t="n">
        <f aca="false">$D22*K22</f>
        <v>0</v>
      </c>
      <c r="AA22" s="66" t="n">
        <f aca="false">$D22*L22</f>
        <v>0</v>
      </c>
      <c r="AB22" s="66" t="n">
        <f aca="false">$D22*M22</f>
        <v>0</v>
      </c>
      <c r="AC22" s="66" t="n">
        <f aca="false">$D22*N22</f>
        <v>0</v>
      </c>
      <c r="AD22" s="66" t="n">
        <f aca="false">$D22*O22</f>
        <v>0</v>
      </c>
      <c r="AE22" s="66" t="n">
        <f aca="false">$D22*P22</f>
        <v>0</v>
      </c>
      <c r="AF22" s="66" t="n">
        <f aca="false">$D22*Q22</f>
        <v>0</v>
      </c>
      <c r="AG22" s="66" t="n">
        <f aca="false">$D22*R22</f>
        <v>0</v>
      </c>
      <c r="AH22" s="66" t="n">
        <f aca="false">$D22*S22</f>
        <v>0</v>
      </c>
      <c r="AI22" s="67" t="n">
        <f aca="false">AJ22/$AI$2</f>
        <v>0</v>
      </c>
      <c r="AJ22" s="66" t="n">
        <f aca="false">SUM(T22:AH22)</f>
        <v>0</v>
      </c>
    </row>
    <row r="23" customFormat="false" ht="15" hidden="false" customHeight="false" outlineLevel="0" collapsed="false">
      <c r="A23" s="52" t="n">
        <v>7</v>
      </c>
      <c r="B23" s="72" t="s">
        <v>73</v>
      </c>
      <c r="C23" s="54" t="s">
        <v>59</v>
      </c>
      <c r="D23" s="55" t="n">
        <f aca="false">VLOOKUP(C23,'[1]PREÇO ATUAL'!$A$1:$D$1048576,4,0)</f>
        <v>165.97812</v>
      </c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58" t="n">
        <f aca="false">$D23*E23</f>
        <v>0</v>
      </c>
      <c r="U23" s="58" t="n">
        <f aca="false">$D23*F23</f>
        <v>0</v>
      </c>
      <c r="V23" s="58" t="n">
        <f aca="false">$D23*G23</f>
        <v>0</v>
      </c>
      <c r="W23" s="58" t="n">
        <f aca="false">$D23*H23</f>
        <v>0</v>
      </c>
      <c r="X23" s="58" t="n">
        <f aca="false">$D23*I23</f>
        <v>0</v>
      </c>
      <c r="Y23" s="58" t="n">
        <f aca="false">$D23*J23</f>
        <v>0</v>
      </c>
      <c r="Z23" s="58" t="n">
        <f aca="false">$D23*K23</f>
        <v>0</v>
      </c>
      <c r="AA23" s="58" t="n">
        <f aca="false">$D23*L23</f>
        <v>0</v>
      </c>
      <c r="AB23" s="58" t="n">
        <f aca="false">$D23*M23</f>
        <v>0</v>
      </c>
      <c r="AC23" s="58" t="n">
        <f aca="false">$D23*N23</f>
        <v>0</v>
      </c>
      <c r="AD23" s="58" t="n">
        <f aca="false">$D23*O23</f>
        <v>0</v>
      </c>
      <c r="AE23" s="58" t="n">
        <f aca="false">$D23*P23</f>
        <v>0</v>
      </c>
      <c r="AF23" s="58" t="n">
        <f aca="false">$D23*Q23</f>
        <v>0</v>
      </c>
      <c r="AG23" s="58" t="n">
        <f aca="false">$D23*R23</f>
        <v>0</v>
      </c>
      <c r="AH23" s="58" t="n">
        <f aca="false">$D23*S23</f>
        <v>0</v>
      </c>
      <c r="AI23" s="59" t="n">
        <f aca="false">AJ23/$AI$2</f>
        <v>0</v>
      </c>
      <c r="AJ23" s="58" t="n">
        <f aca="false">SUM(T23:AH23)</f>
        <v>0</v>
      </c>
    </row>
    <row r="24" customFormat="false" ht="25.5" hidden="false" customHeight="false" outlineLevel="0" collapsed="false">
      <c r="A24" s="60" t="n">
        <v>8</v>
      </c>
      <c r="B24" s="73" t="s">
        <v>74</v>
      </c>
      <c r="C24" s="62" t="s">
        <v>61</v>
      </c>
      <c r="D24" s="63" t="n">
        <f aca="false">VLOOKUP(C24,'[1]PREÇO ATUAL'!$A$1:$D$1048576,4,0)</f>
        <v>33.6224930838505</v>
      </c>
      <c r="E24" s="70"/>
      <c r="F24" s="70"/>
      <c r="G24" s="70"/>
      <c r="H24" s="70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6" t="n">
        <f aca="false">$D24*E24</f>
        <v>0</v>
      </c>
      <c r="U24" s="66" t="n">
        <f aca="false">$D24*F24</f>
        <v>0</v>
      </c>
      <c r="V24" s="66" t="n">
        <f aca="false">$D24*G24</f>
        <v>0</v>
      </c>
      <c r="W24" s="66" t="n">
        <f aca="false">$D24*H24</f>
        <v>0</v>
      </c>
      <c r="X24" s="66" t="n">
        <f aca="false">$D24*I24</f>
        <v>0</v>
      </c>
      <c r="Y24" s="66" t="n">
        <f aca="false">$D24*J24</f>
        <v>0</v>
      </c>
      <c r="Z24" s="66" t="n">
        <f aca="false">$D24*K24</f>
        <v>0</v>
      </c>
      <c r="AA24" s="66" t="n">
        <f aca="false">$D24*L24</f>
        <v>0</v>
      </c>
      <c r="AB24" s="66" t="n">
        <f aca="false">$D24*M24</f>
        <v>0</v>
      </c>
      <c r="AC24" s="66" t="n">
        <f aca="false">$D24*N24</f>
        <v>0</v>
      </c>
      <c r="AD24" s="66" t="n">
        <f aca="false">$D24*O24</f>
        <v>0</v>
      </c>
      <c r="AE24" s="66" t="n">
        <f aca="false">$D24*P24</f>
        <v>0</v>
      </c>
      <c r="AF24" s="66" t="n">
        <f aca="false">$D24*Q24</f>
        <v>0</v>
      </c>
      <c r="AG24" s="66" t="n">
        <f aca="false">$D24*R24</f>
        <v>0</v>
      </c>
      <c r="AH24" s="66" t="n">
        <f aca="false">$D24*S24</f>
        <v>0</v>
      </c>
      <c r="AI24" s="67" t="n">
        <f aca="false">AJ24/$AI$2</f>
        <v>0</v>
      </c>
      <c r="AJ24" s="66" t="n">
        <f aca="false">SUM(T24:AH24)</f>
        <v>0</v>
      </c>
    </row>
    <row r="25" customFormat="false" ht="25.5" hidden="false" customHeight="false" outlineLevel="0" collapsed="false">
      <c r="A25" s="52" t="n">
        <v>9</v>
      </c>
      <c r="B25" s="72" t="s">
        <v>75</v>
      </c>
      <c r="C25" s="54" t="s">
        <v>63</v>
      </c>
      <c r="D25" s="55" t="n">
        <f aca="false">VLOOKUP(C25,'[1]PREÇO ATUAL'!$A$1:$D$1048576,4,0)</f>
        <v>81.26</v>
      </c>
      <c r="E25" s="69" t="n">
        <v>2.54</v>
      </c>
      <c r="F25" s="69" t="n">
        <v>2.54</v>
      </c>
      <c r="G25" s="69" t="n">
        <v>2.54</v>
      </c>
      <c r="H25" s="69" t="n">
        <v>2.54</v>
      </c>
      <c r="I25" s="69" t="n">
        <v>2.54</v>
      </c>
      <c r="J25" s="69" t="n">
        <v>2.54</v>
      </c>
      <c r="K25" s="69" t="n">
        <v>2.54</v>
      </c>
      <c r="L25" s="69" t="n">
        <v>2.54</v>
      </c>
      <c r="M25" s="69" t="n">
        <v>2.54</v>
      </c>
      <c r="N25" s="69" t="n">
        <v>2.54</v>
      </c>
      <c r="O25" s="69" t="n">
        <v>2.54</v>
      </c>
      <c r="P25" s="69" t="n">
        <v>2.54</v>
      </c>
      <c r="Q25" s="69" t="n">
        <v>2.54</v>
      </c>
      <c r="R25" s="69" t="n">
        <v>2.54</v>
      </c>
      <c r="S25" s="69" t="n">
        <v>2.54</v>
      </c>
      <c r="T25" s="58" t="n">
        <f aca="false">D25*E25</f>
        <v>206.4004</v>
      </c>
      <c r="U25" s="58" t="n">
        <f aca="false">$D25*F25</f>
        <v>206.4004</v>
      </c>
      <c r="V25" s="58" t="n">
        <f aca="false">$D25*G25</f>
        <v>206.4004</v>
      </c>
      <c r="W25" s="58" t="n">
        <f aca="false">$D25*H25</f>
        <v>206.4004</v>
      </c>
      <c r="X25" s="58" t="n">
        <f aca="false">$D25*I25</f>
        <v>206.4004</v>
      </c>
      <c r="Y25" s="58" t="n">
        <f aca="false">$D25*J25</f>
        <v>206.4004</v>
      </c>
      <c r="Z25" s="58" t="n">
        <f aca="false">$D25*K25</f>
        <v>206.4004</v>
      </c>
      <c r="AA25" s="58" t="n">
        <f aca="false">$D25*L25</f>
        <v>206.4004</v>
      </c>
      <c r="AB25" s="58" t="n">
        <f aca="false">$D25*M25</f>
        <v>206.4004</v>
      </c>
      <c r="AC25" s="58" t="n">
        <f aca="false">$D25*N25</f>
        <v>206.4004</v>
      </c>
      <c r="AD25" s="58" t="n">
        <f aca="false">$D25*O25</f>
        <v>206.4004</v>
      </c>
      <c r="AE25" s="58" t="n">
        <f aca="false">$D25*P25</f>
        <v>206.4004</v>
      </c>
      <c r="AF25" s="58" t="n">
        <f aca="false">$D25*Q25</f>
        <v>206.4004</v>
      </c>
      <c r="AG25" s="58" t="n">
        <f aca="false">$D25*R25</f>
        <v>206.4004</v>
      </c>
      <c r="AH25" s="58" t="n">
        <f aca="false">$D25*S25</f>
        <v>206.4004</v>
      </c>
      <c r="AI25" s="59" t="n">
        <f aca="false">AJ25/$AI$2</f>
        <v>0.224445846020009</v>
      </c>
      <c r="AJ25" s="58" t="n">
        <f aca="false">SUM(T25:AH25)</f>
        <v>3096.006</v>
      </c>
    </row>
    <row r="26" customFormat="false" ht="15" hidden="false" customHeight="false" outlineLevel="0" collapsed="false">
      <c r="A26" s="60" t="n">
        <v>10</v>
      </c>
      <c r="B26" s="73" t="s">
        <v>64</v>
      </c>
      <c r="C26" s="62" t="s">
        <v>65</v>
      </c>
      <c r="D26" s="63" t="n">
        <f aca="false">VLOOKUP(C26,'[1]PREÇO ATUAL'!$A$1:$D$1048576,4,0)</f>
        <v>342</v>
      </c>
      <c r="E26" s="70" t="n">
        <v>1.05</v>
      </c>
      <c r="F26" s="70" t="n">
        <v>1.4</v>
      </c>
      <c r="G26" s="70" t="n">
        <v>1.1</v>
      </c>
      <c r="H26" s="70" t="n">
        <v>2.4</v>
      </c>
      <c r="I26" s="63" t="n">
        <v>1.2</v>
      </c>
      <c r="J26" s="63" t="n">
        <v>1.65</v>
      </c>
      <c r="K26" s="63" t="n">
        <v>1.05</v>
      </c>
      <c r="L26" s="63" t="n">
        <v>2.4</v>
      </c>
      <c r="M26" s="63" t="n">
        <v>1.1</v>
      </c>
      <c r="N26" s="63" t="n">
        <v>1.55</v>
      </c>
      <c r="O26" s="63" t="n">
        <v>1.05</v>
      </c>
      <c r="P26" s="63" t="n">
        <v>1.7</v>
      </c>
      <c r="Q26" s="63" t="n">
        <v>1.05</v>
      </c>
      <c r="R26" s="63" t="n">
        <v>1.4</v>
      </c>
      <c r="S26" s="63" t="n">
        <v>1.25</v>
      </c>
      <c r="T26" s="66" t="n">
        <f aca="false">$D26*E26</f>
        <v>359.1</v>
      </c>
      <c r="U26" s="66" t="n">
        <f aca="false">$D26*F26</f>
        <v>478.8</v>
      </c>
      <c r="V26" s="66" t="n">
        <f aca="false">$D26*G26</f>
        <v>376.2</v>
      </c>
      <c r="W26" s="66" t="n">
        <f aca="false">$D26*H26</f>
        <v>820.8</v>
      </c>
      <c r="X26" s="66" t="n">
        <f aca="false">$D26*I26</f>
        <v>410.4</v>
      </c>
      <c r="Y26" s="66" t="n">
        <f aca="false">$D26*J26</f>
        <v>564.3</v>
      </c>
      <c r="Z26" s="66" t="n">
        <f aca="false">$D26*K26</f>
        <v>359.1</v>
      </c>
      <c r="AA26" s="66" t="n">
        <f aca="false">$D26*L26</f>
        <v>820.8</v>
      </c>
      <c r="AB26" s="66" t="n">
        <f aca="false">$D26*M26</f>
        <v>376.2</v>
      </c>
      <c r="AC26" s="66" t="n">
        <f aca="false">$D26*N26</f>
        <v>530.1</v>
      </c>
      <c r="AD26" s="66" t="n">
        <f aca="false">$D26*O26</f>
        <v>359.1</v>
      </c>
      <c r="AE26" s="66" t="n">
        <f aca="false">$D26*P26</f>
        <v>581.4</v>
      </c>
      <c r="AF26" s="66" t="n">
        <f aca="false">$D26*Q26</f>
        <v>359.1</v>
      </c>
      <c r="AG26" s="66" t="n">
        <f aca="false">$D26*R26</f>
        <v>478.8</v>
      </c>
      <c r="AH26" s="66" t="n">
        <f aca="false">$D26*S26</f>
        <v>427.5</v>
      </c>
      <c r="AI26" s="67" t="n">
        <f aca="false">AJ26/$AI$2</f>
        <v>0.529338842975207</v>
      </c>
      <c r="AJ26" s="66" t="n">
        <f aca="false">SUM(T26:AH26)</f>
        <v>7301.7</v>
      </c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</sheetData>
  <mergeCells count="10">
    <mergeCell ref="A1:D1"/>
    <mergeCell ref="E1:S1"/>
    <mergeCell ref="T1:AH1"/>
    <mergeCell ref="AI1:AJ1"/>
    <mergeCell ref="AI2:AJ2"/>
    <mergeCell ref="A14:D14"/>
    <mergeCell ref="E14:S14"/>
    <mergeCell ref="T14:AH14"/>
    <mergeCell ref="AI14:AJ14"/>
    <mergeCell ref="AI15:AJ1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J963"/>
  <sheetViews>
    <sheetView showFormulas="false" showGridLines="false" showRowColHeaders="true" showZeros="true" rightToLeft="false" tabSelected="false" showOutlineSymbols="true" defaultGridColor="true" view="normal" topLeftCell="A19" colorId="64" zoomScale="100" zoomScaleNormal="100" zoomScalePageLayoutView="100" workbookViewId="0">
      <pane xSplit="4" ySplit="0" topLeftCell="E19" activePane="topRight" state="frozen"/>
      <selection pane="topLeft" activeCell="A19" activeCellId="0" sqref="A19"/>
      <selection pane="topRight" activeCell="H41" activeCellId="0" sqref="H41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56.01"/>
    <col collapsed="false" customWidth="true" hidden="false" outlineLevel="0" max="3" min="3" style="33" width="16.87"/>
    <col collapsed="false" customWidth="true" hidden="false" outlineLevel="0" max="4" min="4" style="0" width="8.71"/>
    <col collapsed="false" customWidth="true" hidden="false" outlineLevel="0" max="19" min="5" style="0" width="5.14"/>
    <col collapsed="false" customWidth="true" hidden="false" outlineLevel="0" max="20" min="20" style="0" width="15"/>
    <col collapsed="false" customWidth="true" hidden="false" outlineLevel="0" max="21" min="21" style="0" width="15.71"/>
    <col collapsed="false" customWidth="true" hidden="false" outlineLevel="0" max="22" min="22" style="0" width="15"/>
    <col collapsed="false" customWidth="true" hidden="false" outlineLevel="0" max="23" min="23" style="0" width="17.13"/>
    <col collapsed="false" customWidth="true" hidden="false" outlineLevel="0" max="24" min="24" style="0" width="15"/>
    <col collapsed="false" customWidth="true" hidden="false" outlineLevel="0" max="25" min="25" style="0" width="17.13"/>
    <col collapsed="false" customWidth="true" hidden="false" outlineLevel="0" max="26" min="26" style="0" width="13.7"/>
    <col collapsed="false" customWidth="true" hidden="false" outlineLevel="0" max="27" min="27" style="0" width="15.71"/>
    <col collapsed="false" customWidth="true" hidden="false" outlineLevel="0" max="28" min="28" style="0" width="13.7"/>
    <col collapsed="false" customWidth="true" hidden="false" outlineLevel="0" max="29" min="29" style="0" width="15.71"/>
    <col collapsed="false" customWidth="true" hidden="false" outlineLevel="0" max="30" min="30" style="0" width="13.7"/>
    <col collapsed="false" customWidth="true" hidden="false" outlineLevel="0" max="31" min="31" style="0" width="15.71"/>
    <col collapsed="false" customWidth="true" hidden="false" outlineLevel="0" max="32" min="32" style="0" width="13.7"/>
    <col collapsed="false" customWidth="true" hidden="false" outlineLevel="0" max="33" min="33" style="0" width="15.71"/>
    <col collapsed="false" customWidth="true" hidden="false" outlineLevel="0" max="34" min="34" style="0" width="13.7"/>
    <col collapsed="false" customWidth="true" hidden="false" outlineLevel="0" max="35" min="35" style="0" width="8.41"/>
    <col collapsed="false" customWidth="true" hidden="false" outlineLevel="0" max="36" min="36" style="0" width="15.57"/>
  </cols>
  <sheetData>
    <row r="1" customFormat="false" ht="15" hidden="false" customHeight="false" outlineLevel="0" collapsed="false">
      <c r="A1" s="74" t="s">
        <v>76</v>
      </c>
      <c r="B1" s="74"/>
      <c r="C1" s="74"/>
      <c r="D1" s="74"/>
      <c r="E1" s="75" t="s">
        <v>29</v>
      </c>
      <c r="F1" s="75"/>
      <c r="G1" s="75"/>
      <c r="H1" s="75"/>
      <c r="I1" s="75"/>
      <c r="J1" s="75"/>
      <c r="K1" s="75"/>
      <c r="L1" s="75"/>
      <c r="M1" s="75"/>
      <c r="N1" s="75"/>
      <c r="O1" s="76"/>
      <c r="P1" s="76"/>
      <c r="Q1" s="76"/>
      <c r="R1" s="76"/>
      <c r="S1" s="76"/>
      <c r="T1" s="77" t="s">
        <v>30</v>
      </c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37" t="s">
        <v>31</v>
      </c>
      <c r="AJ1" s="37"/>
    </row>
    <row r="2" customFormat="false" ht="15" hidden="false" customHeight="false" outlineLevel="0" collapsed="false">
      <c r="A2" s="74"/>
      <c r="B2" s="74"/>
      <c r="C2" s="74"/>
      <c r="D2" s="74"/>
      <c r="E2" s="75"/>
      <c r="F2" s="75"/>
      <c r="G2" s="75"/>
      <c r="H2" s="75"/>
      <c r="I2" s="75"/>
      <c r="J2" s="75"/>
      <c r="K2" s="75"/>
      <c r="L2" s="75"/>
      <c r="M2" s="75"/>
      <c r="N2" s="75"/>
      <c r="O2" s="78"/>
      <c r="P2" s="78"/>
      <c r="Q2" s="78"/>
      <c r="R2" s="78"/>
      <c r="S2" s="78"/>
      <c r="T2" s="43" t="n">
        <f aca="false">MROUND(SUM(T4:T12),1)</f>
        <v>644</v>
      </c>
      <c r="U2" s="43" t="n">
        <f aca="false">MROUND(SUM(U4:U12),1)</f>
        <v>889</v>
      </c>
      <c r="V2" s="43" t="n">
        <f aca="false">MROUND(SUM(V4:V12),1)</f>
        <v>661</v>
      </c>
      <c r="W2" s="43" t="n">
        <f aca="false">MROUND(SUM(W4:W12),1)</f>
        <v>1918</v>
      </c>
      <c r="X2" s="43" t="n">
        <f aca="false">MROUND(SUM(X4:X12),1)</f>
        <v>695</v>
      </c>
      <c r="Y2" s="43" t="n">
        <f aca="false">MROUND(SUM(Y4:Y12),1)</f>
        <v>1118</v>
      </c>
      <c r="Z2" s="43" t="n">
        <f aca="false">MROUND(SUM(Z4:Z12),1)</f>
        <v>644</v>
      </c>
      <c r="AA2" s="43" t="n">
        <f aca="false">MROUND(SUM(AA4:AA12),1)</f>
        <v>1918</v>
      </c>
      <c r="AB2" s="43" t="n">
        <f aca="false">MROUND(SUM(AB4:AB12),1)</f>
        <v>661</v>
      </c>
      <c r="AC2" s="43" t="n">
        <f aca="false">MROUND(SUM(AC4:AC12),1)</f>
        <v>940</v>
      </c>
      <c r="AD2" s="43" t="n">
        <f aca="false">MROUND(SUM(AD4:AD12),1)</f>
        <v>644</v>
      </c>
      <c r="AE2" s="43" t="n">
        <f aca="false">MROUND(SUM(AE4:AE12),1)</f>
        <v>2171</v>
      </c>
      <c r="AF2" s="43" t="n">
        <f aca="false">MROUND(SUM(AF4:AF12),1)</f>
        <v>644</v>
      </c>
      <c r="AG2" s="43" t="n">
        <f aca="false">MROUND(SUM(AG4:AG12),1)</f>
        <v>889</v>
      </c>
      <c r="AH2" s="43" t="n">
        <f aca="false">MROUND(SUM(AH4:AH12),1)</f>
        <v>712</v>
      </c>
      <c r="AI2" s="44" t="n">
        <f aca="false">SUM(T2:AH2)</f>
        <v>15148</v>
      </c>
      <c r="AJ2" s="44"/>
    </row>
    <row r="3" customFormat="false" ht="15" hidden="false" customHeight="false" outlineLevel="0" collapsed="false">
      <c r="A3" s="45" t="s">
        <v>32</v>
      </c>
      <c r="B3" s="45" t="s">
        <v>33</v>
      </c>
      <c r="C3" s="46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77</v>
      </c>
      <c r="M3" s="48" t="s">
        <v>78</v>
      </c>
      <c r="N3" s="48" t="s">
        <v>45</v>
      </c>
      <c r="O3" s="49" t="n">
        <v>11</v>
      </c>
      <c r="P3" s="49" t="n">
        <v>12</v>
      </c>
      <c r="Q3" s="49" t="n">
        <v>13</v>
      </c>
      <c r="R3" s="49" t="n">
        <v>14</v>
      </c>
      <c r="S3" s="49" t="n">
        <v>15</v>
      </c>
      <c r="T3" s="48" t="n">
        <v>10000</v>
      </c>
      <c r="U3" s="48" t="n">
        <v>20000</v>
      </c>
      <c r="V3" s="48" t="n">
        <v>30000</v>
      </c>
      <c r="W3" s="48" t="n">
        <v>40000</v>
      </c>
      <c r="X3" s="48" t="n">
        <v>50000</v>
      </c>
      <c r="Y3" s="48" t="n">
        <v>60000</v>
      </c>
      <c r="Z3" s="48" t="n">
        <v>70000</v>
      </c>
      <c r="AA3" s="48" t="n">
        <v>80000</v>
      </c>
      <c r="AB3" s="48" t="n">
        <v>90000</v>
      </c>
      <c r="AC3" s="48" t="n">
        <v>100000</v>
      </c>
      <c r="AD3" s="50" t="n">
        <f aca="false">AC3+10000</f>
        <v>110000</v>
      </c>
      <c r="AE3" s="50" t="n">
        <f aca="false">AD3+10000</f>
        <v>120000</v>
      </c>
      <c r="AF3" s="50" t="n">
        <f aca="false">AE3+10000</f>
        <v>130000</v>
      </c>
      <c r="AG3" s="50" t="n">
        <f aca="false">AF3+10000</f>
        <v>140000</v>
      </c>
      <c r="AH3" s="50" t="n">
        <f aca="false">AG3+10000</f>
        <v>150000</v>
      </c>
      <c r="AI3" s="51" t="s">
        <v>46</v>
      </c>
      <c r="AJ3" s="45" t="s">
        <v>47</v>
      </c>
    </row>
    <row r="4" customFormat="false" ht="15" hidden="false" customHeight="false" outlineLevel="0" collapsed="false">
      <c r="A4" s="52" t="n">
        <v>1</v>
      </c>
      <c r="B4" s="53" t="s">
        <v>48</v>
      </c>
      <c r="C4" s="54" t="s">
        <v>49</v>
      </c>
      <c r="D4" s="55" t="n">
        <f aca="false">VLOOKUP(C4,'[1]PREÇO ATUAL'!$A$1:$D$1048576,4,0)</f>
        <v>79.9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6" t="n">
        <v>1</v>
      </c>
      <c r="O4" s="56" t="n">
        <v>1</v>
      </c>
      <c r="P4" s="56" t="n">
        <v>1</v>
      </c>
      <c r="Q4" s="56" t="n">
        <v>1</v>
      </c>
      <c r="R4" s="56" t="n">
        <v>1</v>
      </c>
      <c r="S4" s="56" t="n">
        <v>1</v>
      </c>
      <c r="T4" s="58" t="n">
        <f aca="false">$D4*E4</f>
        <v>79.9</v>
      </c>
      <c r="U4" s="58" t="n">
        <f aca="false">$D4*F4</f>
        <v>79.9</v>
      </c>
      <c r="V4" s="58" t="n">
        <f aca="false">$D4*G4</f>
        <v>79.9</v>
      </c>
      <c r="W4" s="58" t="n">
        <f aca="false">$D4*H4</f>
        <v>79.9</v>
      </c>
      <c r="X4" s="58" t="n">
        <f aca="false">$D4*I4</f>
        <v>79.9</v>
      </c>
      <c r="Y4" s="58" t="n">
        <f aca="false">$D4*J4</f>
        <v>79.9</v>
      </c>
      <c r="Z4" s="58" t="n">
        <f aca="false">$D4*K4</f>
        <v>79.9</v>
      </c>
      <c r="AA4" s="58" t="n">
        <f aca="false">$D4*L4</f>
        <v>79.9</v>
      </c>
      <c r="AB4" s="58" t="n">
        <f aca="false">$D4*M4</f>
        <v>79.9</v>
      </c>
      <c r="AC4" s="58" t="n">
        <f aca="false">$D4*N4</f>
        <v>79.9</v>
      </c>
      <c r="AD4" s="58" t="n">
        <f aca="false">$D4*O4</f>
        <v>79.9</v>
      </c>
      <c r="AE4" s="58" t="n">
        <f aca="false">$D4*P4</f>
        <v>79.9</v>
      </c>
      <c r="AF4" s="58" t="n">
        <f aca="false">$D4*Q4</f>
        <v>79.9</v>
      </c>
      <c r="AG4" s="58" t="n">
        <f aca="false">$D4*R4</f>
        <v>79.9</v>
      </c>
      <c r="AH4" s="58" t="n">
        <f aca="false">$D4*S4</f>
        <v>79.9</v>
      </c>
      <c r="AI4" s="59" t="n">
        <f aca="false">AJ4/$AI$2</f>
        <v>0.0791193556905202</v>
      </c>
      <c r="AJ4" s="58" t="n">
        <f aca="false">SUM(T4:AH4)</f>
        <v>1198.5</v>
      </c>
    </row>
    <row r="5" customFormat="false" ht="15" hidden="false" customHeight="false" outlineLevel="0" collapsed="false">
      <c r="A5" s="60" t="n">
        <v>2</v>
      </c>
      <c r="B5" s="61" t="s">
        <v>50</v>
      </c>
      <c r="C5" s="62" t="s">
        <v>51</v>
      </c>
      <c r="D5" s="63" t="n">
        <f aca="false">VLOOKUP(C5,'[1]PREÇO ATUAL'!$A$1:$D$1048576,4,0)</f>
        <v>35.9</v>
      </c>
      <c r="E5" s="64"/>
      <c r="F5" s="64" t="n">
        <v>1</v>
      </c>
      <c r="G5" s="64"/>
      <c r="H5" s="64" t="n">
        <v>1</v>
      </c>
      <c r="I5" s="65"/>
      <c r="J5" s="65" t="n">
        <v>1</v>
      </c>
      <c r="K5" s="65"/>
      <c r="L5" s="65" t="n">
        <v>1</v>
      </c>
      <c r="M5" s="65"/>
      <c r="N5" s="64" t="n">
        <v>1</v>
      </c>
      <c r="O5" s="79"/>
      <c r="P5" s="65" t="n">
        <v>1</v>
      </c>
      <c r="Q5" s="65"/>
      <c r="R5" s="65" t="n">
        <v>1</v>
      </c>
      <c r="S5" s="65"/>
      <c r="T5" s="66" t="n">
        <f aca="false">$D5*E5</f>
        <v>0</v>
      </c>
      <c r="U5" s="66" t="n">
        <f aca="false">$D5*F5</f>
        <v>35.9</v>
      </c>
      <c r="V5" s="66" t="n">
        <f aca="false">$D5*G5</f>
        <v>0</v>
      </c>
      <c r="W5" s="66" t="n">
        <f aca="false">$D5*H5</f>
        <v>35.9</v>
      </c>
      <c r="X5" s="66" t="n">
        <f aca="false">$D5*I5</f>
        <v>0</v>
      </c>
      <c r="Y5" s="66" t="n">
        <f aca="false">$D5*J5</f>
        <v>35.9</v>
      </c>
      <c r="Z5" s="66" t="n">
        <f aca="false">$D5*K5</f>
        <v>0</v>
      </c>
      <c r="AA5" s="66" t="n">
        <f aca="false">$D5*L5</f>
        <v>35.9</v>
      </c>
      <c r="AB5" s="66" t="n">
        <f aca="false">$D5*M5</f>
        <v>0</v>
      </c>
      <c r="AC5" s="66" t="n">
        <f aca="false">$D5*N5</f>
        <v>35.9</v>
      </c>
      <c r="AD5" s="66" t="n">
        <f aca="false">$D5*O5</f>
        <v>0</v>
      </c>
      <c r="AE5" s="66" t="n">
        <f aca="false">$D5*P5</f>
        <v>35.9</v>
      </c>
      <c r="AF5" s="66" t="n">
        <f aca="false">$D5*Q5</f>
        <v>0</v>
      </c>
      <c r="AG5" s="66" t="n">
        <f aca="false">$D5*R5</f>
        <v>35.9</v>
      </c>
      <c r="AH5" s="66" t="n">
        <f aca="false">$D5*S5</f>
        <v>0</v>
      </c>
      <c r="AI5" s="67" t="n">
        <f aca="false">AJ5/$AI$2</f>
        <v>0.0165896487985213</v>
      </c>
      <c r="AJ5" s="66" t="n">
        <f aca="false">SUM(T5:AH5)</f>
        <v>251.3</v>
      </c>
    </row>
    <row r="6" customFormat="false" ht="15" hidden="false" customHeight="false" outlineLevel="0" collapsed="false">
      <c r="A6" s="52" t="n">
        <v>3</v>
      </c>
      <c r="B6" s="53" t="s">
        <v>52</v>
      </c>
      <c r="C6" s="54" t="s">
        <v>53</v>
      </c>
      <c r="D6" s="55" t="n">
        <f aca="false">VLOOKUP(C6,'[1]PREÇO ATUAL'!$A$1:$D$1048576,4,0)</f>
        <v>89.9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56" t="n">
        <v>1</v>
      </c>
      <c r="O6" s="80"/>
      <c r="P6" s="57" t="n">
        <v>1</v>
      </c>
      <c r="Q6" s="57"/>
      <c r="R6" s="57" t="n">
        <v>1</v>
      </c>
      <c r="S6" s="57"/>
      <c r="T6" s="58" t="n">
        <f aca="false">$D6*E6</f>
        <v>0</v>
      </c>
      <c r="U6" s="58" t="n">
        <f aca="false">$D6*F6</f>
        <v>89.9</v>
      </c>
      <c r="V6" s="58" t="n">
        <f aca="false">$D6*G6</f>
        <v>0</v>
      </c>
      <c r="W6" s="58" t="n">
        <f aca="false">$D6*H6</f>
        <v>89.9</v>
      </c>
      <c r="X6" s="58" t="n">
        <f aca="false">$D6*I6</f>
        <v>0</v>
      </c>
      <c r="Y6" s="58" t="n">
        <f aca="false">$D6*J6</f>
        <v>89.9</v>
      </c>
      <c r="Z6" s="58" t="n">
        <f aca="false">$D6*K6</f>
        <v>0</v>
      </c>
      <c r="AA6" s="58" t="n">
        <f aca="false">$D6*L6</f>
        <v>89.9</v>
      </c>
      <c r="AB6" s="58" t="n">
        <f aca="false">$D6*M6</f>
        <v>0</v>
      </c>
      <c r="AC6" s="58" t="n">
        <f aca="false">$D6*N6</f>
        <v>89.9</v>
      </c>
      <c r="AD6" s="58" t="n">
        <f aca="false">$D6*O6</f>
        <v>0</v>
      </c>
      <c r="AE6" s="58" t="n">
        <f aca="false">$D6*P6</f>
        <v>89.9</v>
      </c>
      <c r="AF6" s="58" t="n">
        <f aca="false">$D6*Q6</f>
        <v>0</v>
      </c>
      <c r="AG6" s="58" t="n">
        <f aca="false">$D6*R6</f>
        <v>89.9</v>
      </c>
      <c r="AH6" s="58" t="n">
        <f aca="false">$D6*S6</f>
        <v>0</v>
      </c>
      <c r="AI6" s="59" t="n">
        <f aca="false">AJ6/$AI$2</f>
        <v>0.041543438077634</v>
      </c>
      <c r="AJ6" s="58" t="n">
        <f aca="false">SUM(T6:AH6)</f>
        <v>629.3</v>
      </c>
    </row>
    <row r="7" customFormat="false" ht="15" hidden="false" customHeight="false" outlineLevel="0" collapsed="false">
      <c r="A7" s="60" t="n">
        <v>4</v>
      </c>
      <c r="B7" s="61" t="s">
        <v>54</v>
      </c>
      <c r="C7" s="62" t="s">
        <v>55</v>
      </c>
      <c r="D7" s="63" t="n">
        <f aca="false">VLOOKUP(C7,'[1]PREÇO ATUAL'!$A$1:$D$1048576,4,0)</f>
        <v>175.9</v>
      </c>
      <c r="E7" s="64"/>
      <c r="F7" s="64"/>
      <c r="G7" s="64"/>
      <c r="H7" s="64" t="n">
        <v>4</v>
      </c>
      <c r="I7" s="65"/>
      <c r="J7" s="65"/>
      <c r="K7" s="65"/>
      <c r="L7" s="65" t="n">
        <v>4</v>
      </c>
      <c r="M7" s="65"/>
      <c r="N7" s="64"/>
      <c r="O7" s="79"/>
      <c r="P7" s="65" t="n">
        <v>4</v>
      </c>
      <c r="Q7" s="65"/>
      <c r="R7" s="65"/>
      <c r="S7" s="65"/>
      <c r="T7" s="66" t="n">
        <f aca="false">$D7*E7</f>
        <v>0</v>
      </c>
      <c r="U7" s="66" t="n">
        <f aca="false">$D7*F7</f>
        <v>0</v>
      </c>
      <c r="V7" s="66" t="n">
        <f aca="false">$D7*G7</f>
        <v>0</v>
      </c>
      <c r="W7" s="66" t="n">
        <f aca="false">$D7*H7</f>
        <v>703.6</v>
      </c>
      <c r="X7" s="66" t="n">
        <f aca="false">$D7*I7</f>
        <v>0</v>
      </c>
      <c r="Y7" s="66" t="n">
        <f aca="false">$D7*J7</f>
        <v>0</v>
      </c>
      <c r="Z7" s="66" t="n">
        <f aca="false">$D7*K7</f>
        <v>0</v>
      </c>
      <c r="AA7" s="66" t="n">
        <f aca="false">$D7*L7</f>
        <v>703.6</v>
      </c>
      <c r="AB7" s="66" t="n">
        <f aca="false">$D7*M7</f>
        <v>0</v>
      </c>
      <c r="AC7" s="66" t="n">
        <f aca="false">$D7*N7</f>
        <v>0</v>
      </c>
      <c r="AD7" s="66" t="n">
        <f aca="false">$D7*O7</f>
        <v>0</v>
      </c>
      <c r="AE7" s="66" t="n">
        <f aca="false">$D7*P7</f>
        <v>703.6</v>
      </c>
      <c r="AF7" s="66" t="n">
        <f aca="false">$D7*Q7</f>
        <v>0</v>
      </c>
      <c r="AG7" s="66" t="n">
        <f aca="false">$D7*R7</f>
        <v>0</v>
      </c>
      <c r="AH7" s="66" t="n">
        <f aca="false">$D7*S7</f>
        <v>0</v>
      </c>
      <c r="AI7" s="67" t="n">
        <f aca="false">AJ7/$AI$2</f>
        <v>0.139345128069712</v>
      </c>
      <c r="AJ7" s="66" t="n">
        <f aca="false">SUM(T7:AH7)</f>
        <v>2110.8</v>
      </c>
    </row>
    <row r="8" customFormat="false" ht="15" hidden="false" customHeight="false" outlineLevel="0" collapsed="false">
      <c r="A8" s="52" t="n">
        <v>5</v>
      </c>
      <c r="B8" s="53" t="s">
        <v>56</v>
      </c>
      <c r="C8" s="54" t="s">
        <v>57</v>
      </c>
      <c r="D8" s="55" t="n">
        <f aca="false">VLOOKUP(C8,'[1]PREÇO ATUAL'!$A$1:$D$1048576,4,0)</f>
        <v>143.23</v>
      </c>
      <c r="E8" s="56"/>
      <c r="F8" s="56"/>
      <c r="G8" s="56"/>
      <c r="H8" s="56"/>
      <c r="I8" s="57"/>
      <c r="J8" s="57" t="n">
        <v>1</v>
      </c>
      <c r="K8" s="57"/>
      <c r="L8" s="57"/>
      <c r="M8" s="57"/>
      <c r="N8" s="56"/>
      <c r="O8" s="80"/>
      <c r="P8" s="57" t="n">
        <v>1</v>
      </c>
      <c r="Q8" s="57"/>
      <c r="R8" s="57"/>
      <c r="S8" s="57"/>
      <c r="T8" s="58" t="n">
        <f aca="false">$D8*E8</f>
        <v>0</v>
      </c>
      <c r="U8" s="58" t="n">
        <f aca="false">$D8*F8</f>
        <v>0</v>
      </c>
      <c r="V8" s="58" t="n">
        <f aca="false">$D8*G8</f>
        <v>0</v>
      </c>
      <c r="W8" s="58" t="n">
        <f aca="false">$D8*H8</f>
        <v>0</v>
      </c>
      <c r="X8" s="58" t="n">
        <f aca="false">$D8*I8</f>
        <v>0</v>
      </c>
      <c r="Y8" s="58" t="n">
        <f aca="false">$D8*J8</f>
        <v>143.23</v>
      </c>
      <c r="Z8" s="58" t="n">
        <f aca="false">$D8*K8</f>
        <v>0</v>
      </c>
      <c r="AA8" s="58" t="n">
        <f aca="false">$D8*L8</f>
        <v>0</v>
      </c>
      <c r="AB8" s="58" t="n">
        <f aca="false">$D8*M8</f>
        <v>0</v>
      </c>
      <c r="AC8" s="58" t="n">
        <f aca="false">$D8*N8</f>
        <v>0</v>
      </c>
      <c r="AD8" s="58" t="n">
        <f aca="false">$D8*O8</f>
        <v>0</v>
      </c>
      <c r="AE8" s="58" t="n">
        <f aca="false">$D8*P8</f>
        <v>143.23</v>
      </c>
      <c r="AF8" s="58" t="n">
        <f aca="false">$D8*Q8</f>
        <v>0</v>
      </c>
      <c r="AG8" s="58" t="n">
        <f aca="false">$D8*R8</f>
        <v>0</v>
      </c>
      <c r="AH8" s="58" t="n">
        <f aca="false">$D8*S8</f>
        <v>0</v>
      </c>
      <c r="AI8" s="59" t="n">
        <f aca="false">AJ8/$AI$2</f>
        <v>0.0189107472933721</v>
      </c>
      <c r="AJ8" s="58" t="n">
        <f aca="false">SUM(T8:AH8)</f>
        <v>286.46</v>
      </c>
    </row>
    <row r="9" customFormat="false" ht="15" hidden="false" customHeight="false" outlineLevel="0" collapsed="false">
      <c r="A9" s="60" t="n">
        <v>6</v>
      </c>
      <c r="B9" s="61" t="s">
        <v>58</v>
      </c>
      <c r="C9" s="62" t="s">
        <v>59</v>
      </c>
      <c r="D9" s="63" t="n">
        <f aca="false">VLOOKUP(C9,'[1]PREÇO ATUAL'!$A$1:$D$1048576,4,0)</f>
        <v>165.97812</v>
      </c>
      <c r="E9" s="64"/>
      <c r="F9" s="64"/>
      <c r="G9" s="64"/>
      <c r="H9" s="64"/>
      <c r="I9" s="65"/>
      <c r="J9" s="65"/>
      <c r="K9" s="65"/>
      <c r="L9" s="65"/>
      <c r="M9" s="65"/>
      <c r="N9" s="64"/>
      <c r="O9" s="79"/>
      <c r="P9" s="68" t="n">
        <v>2</v>
      </c>
      <c r="Q9" s="65"/>
      <c r="R9" s="65"/>
      <c r="S9" s="65"/>
      <c r="T9" s="66" t="n">
        <f aca="false">$D9*E9</f>
        <v>0</v>
      </c>
      <c r="U9" s="66" t="n">
        <f aca="false">$D9*F9</f>
        <v>0</v>
      </c>
      <c r="V9" s="66" t="n">
        <f aca="false">$D9*G9</f>
        <v>0</v>
      </c>
      <c r="W9" s="66" t="n">
        <f aca="false">$D9*H9</f>
        <v>0</v>
      </c>
      <c r="X9" s="66" t="n">
        <f aca="false">$D9*I9</f>
        <v>0</v>
      </c>
      <c r="Y9" s="66" t="n">
        <f aca="false">$D9*J9</f>
        <v>0</v>
      </c>
      <c r="Z9" s="66" t="n">
        <f aca="false">$D9*K9</f>
        <v>0</v>
      </c>
      <c r="AA9" s="66" t="n">
        <f aca="false">$D9*L9</f>
        <v>0</v>
      </c>
      <c r="AB9" s="66" t="n">
        <f aca="false">$D9*M9</f>
        <v>0</v>
      </c>
      <c r="AC9" s="66" t="n">
        <f aca="false">$D9*N9</f>
        <v>0</v>
      </c>
      <c r="AD9" s="66" t="n">
        <f aca="false">$D9*O9</f>
        <v>0</v>
      </c>
      <c r="AE9" s="66" t="n">
        <f aca="false">$D9*P9</f>
        <v>331.95624</v>
      </c>
      <c r="AF9" s="66" t="n">
        <f aca="false">$D9*Q9</f>
        <v>0</v>
      </c>
      <c r="AG9" s="66" t="n">
        <f aca="false">$D9*R9</f>
        <v>0</v>
      </c>
      <c r="AH9" s="66" t="n">
        <f aca="false">$D9*S9</f>
        <v>0</v>
      </c>
      <c r="AI9" s="67" t="n">
        <f aca="false">AJ9/$AI$2</f>
        <v>0.0219141959334566</v>
      </c>
      <c r="AJ9" s="66" t="n">
        <f aca="false">SUM(T9:AH9)</f>
        <v>331.95624</v>
      </c>
    </row>
    <row r="10" customFormat="false" ht="15" hidden="false" customHeight="false" outlineLevel="0" collapsed="false">
      <c r="A10" s="52" t="n">
        <v>7</v>
      </c>
      <c r="B10" s="53" t="s">
        <v>60</v>
      </c>
      <c r="C10" s="54" t="s">
        <v>61</v>
      </c>
      <c r="D10" s="55" t="n">
        <f aca="false">VLOOKUP(C10,'[1]PREÇO ATUAL'!$A$1:$D$1048576,4,0)</f>
        <v>33.6224930838505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58" t="n">
        <f aca="false">$D10*E10</f>
        <v>0</v>
      </c>
      <c r="U10" s="58" t="n">
        <f aca="false">$D10*F10</f>
        <v>0</v>
      </c>
      <c r="V10" s="58" t="n">
        <f aca="false">$D10*G10</f>
        <v>0</v>
      </c>
      <c r="W10" s="58" t="n">
        <f aca="false">$D10*H10</f>
        <v>0</v>
      </c>
      <c r="X10" s="58" t="n">
        <f aca="false">$D10*I10</f>
        <v>0</v>
      </c>
      <c r="Y10" s="58" t="n">
        <f aca="false">$D10*J10</f>
        <v>0</v>
      </c>
      <c r="Z10" s="58" t="n">
        <f aca="false">$D10*K10</f>
        <v>0</v>
      </c>
      <c r="AA10" s="58" t="n">
        <f aca="false">$D10*L10</f>
        <v>0</v>
      </c>
      <c r="AB10" s="58" t="n">
        <f aca="false">$D10*M10</f>
        <v>0</v>
      </c>
      <c r="AC10" s="58" t="n">
        <f aca="false">$D10*N10</f>
        <v>0</v>
      </c>
      <c r="AD10" s="58" t="n">
        <f aca="false">$D10*O10</f>
        <v>0</v>
      </c>
      <c r="AE10" s="58" t="n">
        <f aca="false">$D10*P10</f>
        <v>0</v>
      </c>
      <c r="AF10" s="58" t="n">
        <f aca="false">$D10*Q10</f>
        <v>0</v>
      </c>
      <c r="AG10" s="58" t="n">
        <f aca="false">$D10*R10</f>
        <v>0</v>
      </c>
      <c r="AH10" s="58" t="n">
        <f aca="false">$D10*S10</f>
        <v>0</v>
      </c>
      <c r="AI10" s="59" t="n">
        <f aca="false">AJ10/$AI$2</f>
        <v>0</v>
      </c>
      <c r="AJ10" s="58" t="n">
        <f aca="false">SUM(T10:AH10)</f>
        <v>0</v>
      </c>
    </row>
    <row r="11" customFormat="false" ht="15" hidden="false" customHeight="false" outlineLevel="0" collapsed="false">
      <c r="A11" s="60" t="n">
        <v>8</v>
      </c>
      <c r="B11" s="61" t="s">
        <v>62</v>
      </c>
      <c r="C11" s="62" t="s">
        <v>63</v>
      </c>
      <c r="D11" s="63" t="n">
        <f aca="false">VLOOKUP(C11,'[1]PREÇO ATUAL'!$A$1:$D$1048576,4,0)</f>
        <v>81.26</v>
      </c>
      <c r="E11" s="70" t="n">
        <v>3.36</v>
      </c>
      <c r="F11" s="70" t="n">
        <v>3.36</v>
      </c>
      <c r="G11" s="70" t="n">
        <v>3.36</v>
      </c>
      <c r="H11" s="70" t="n">
        <v>3.36</v>
      </c>
      <c r="I11" s="63" t="n">
        <v>3.36</v>
      </c>
      <c r="J11" s="63" t="n">
        <v>3.36</v>
      </c>
      <c r="K11" s="63" t="n">
        <v>3.36</v>
      </c>
      <c r="L11" s="63" t="n">
        <v>3.36</v>
      </c>
      <c r="M11" s="63" t="n">
        <v>3.36</v>
      </c>
      <c r="N11" s="70" t="n">
        <v>3.36</v>
      </c>
      <c r="O11" s="81" t="n">
        <v>3.36</v>
      </c>
      <c r="P11" s="63" t="n">
        <v>3.36</v>
      </c>
      <c r="Q11" s="63" t="n">
        <v>3.36</v>
      </c>
      <c r="R11" s="63" t="n">
        <v>3.36</v>
      </c>
      <c r="S11" s="63" t="n">
        <v>3.36</v>
      </c>
      <c r="T11" s="66" t="n">
        <f aca="false">$D11*E11</f>
        <v>273.0336</v>
      </c>
      <c r="U11" s="66" t="n">
        <f aca="false">$D11*F11</f>
        <v>273.0336</v>
      </c>
      <c r="V11" s="66" t="n">
        <f aca="false">$D11*G11</f>
        <v>273.0336</v>
      </c>
      <c r="W11" s="66" t="n">
        <f aca="false">$D11*H11</f>
        <v>273.0336</v>
      </c>
      <c r="X11" s="66" t="n">
        <f aca="false">$D11*I11</f>
        <v>273.0336</v>
      </c>
      <c r="Y11" s="66" t="n">
        <f aca="false">$D11*J11</f>
        <v>273.0336</v>
      </c>
      <c r="Z11" s="66" t="n">
        <f aca="false">$D11*K11</f>
        <v>273.0336</v>
      </c>
      <c r="AA11" s="66" t="n">
        <f aca="false">$D11*L11</f>
        <v>273.0336</v>
      </c>
      <c r="AB11" s="66" t="n">
        <f aca="false">$D11*M11</f>
        <v>273.0336</v>
      </c>
      <c r="AC11" s="66" t="n">
        <f aca="false">$D11*N11</f>
        <v>273.0336</v>
      </c>
      <c r="AD11" s="66" t="n">
        <f aca="false">$D11*O11</f>
        <v>273.0336</v>
      </c>
      <c r="AE11" s="66" t="n">
        <f aca="false">$D11*P11</f>
        <v>273.0336</v>
      </c>
      <c r="AF11" s="66" t="n">
        <f aca="false">$D11*Q11</f>
        <v>273.0336</v>
      </c>
      <c r="AG11" s="66" t="n">
        <f aca="false">$D11*R11</f>
        <v>273.0336</v>
      </c>
      <c r="AH11" s="66" t="n">
        <f aca="false">$D11*S11</f>
        <v>273.0336</v>
      </c>
      <c r="AI11" s="67" t="n">
        <f aca="false">AJ11/$AI$2</f>
        <v>0.270365988909427</v>
      </c>
      <c r="AJ11" s="66" t="n">
        <f aca="false">SUM(T11:AH11)</f>
        <v>4095.504</v>
      </c>
    </row>
    <row r="12" customFormat="false" ht="15" hidden="false" customHeight="false" outlineLevel="0" collapsed="false">
      <c r="A12" s="52" t="n">
        <v>9</v>
      </c>
      <c r="B12" s="53" t="s">
        <v>64</v>
      </c>
      <c r="C12" s="54" t="s">
        <v>65</v>
      </c>
      <c r="D12" s="55" t="n">
        <f aca="false">VLOOKUP(C12,'[1]PREÇO ATUAL'!$A$1:$D$1048576,4,0)</f>
        <v>342</v>
      </c>
      <c r="E12" s="69" t="n">
        <v>0.85</v>
      </c>
      <c r="F12" s="69" t="n">
        <v>1.2</v>
      </c>
      <c r="G12" s="69" t="n">
        <v>0.9</v>
      </c>
      <c r="H12" s="69" t="n">
        <v>2.15</v>
      </c>
      <c r="I12" s="69" t="n">
        <v>1</v>
      </c>
      <c r="J12" s="69" t="n">
        <v>1.45</v>
      </c>
      <c r="K12" s="69" t="n">
        <v>0.85</v>
      </c>
      <c r="L12" s="69" t="n">
        <v>2.15</v>
      </c>
      <c r="M12" s="69" t="n">
        <v>0.9</v>
      </c>
      <c r="N12" s="69" t="n">
        <v>1.35</v>
      </c>
      <c r="O12" s="69" t="n">
        <v>0.85</v>
      </c>
      <c r="P12" s="69" t="n">
        <v>1.5</v>
      </c>
      <c r="Q12" s="69" t="n">
        <v>0.85</v>
      </c>
      <c r="R12" s="69" t="n">
        <v>1.2</v>
      </c>
      <c r="S12" s="69" t="n">
        <v>1.05</v>
      </c>
      <c r="T12" s="58" t="n">
        <f aca="false">D12*E12</f>
        <v>290.7</v>
      </c>
      <c r="U12" s="58" t="n">
        <f aca="false">$D12*F12</f>
        <v>410.4</v>
      </c>
      <c r="V12" s="58" t="n">
        <f aca="false">$D12*G12</f>
        <v>307.8</v>
      </c>
      <c r="W12" s="58" t="n">
        <f aca="false">$D12*H12</f>
        <v>735.3</v>
      </c>
      <c r="X12" s="58" t="n">
        <f aca="false">$D12*I12</f>
        <v>342</v>
      </c>
      <c r="Y12" s="58" t="n">
        <f aca="false">$D12*J12</f>
        <v>495.9</v>
      </c>
      <c r="Z12" s="58" t="n">
        <f aca="false">$D12*K12</f>
        <v>290.7</v>
      </c>
      <c r="AA12" s="58" t="n">
        <f aca="false">$D12*L12</f>
        <v>735.3</v>
      </c>
      <c r="AB12" s="58" t="n">
        <f aca="false">$D12*M12</f>
        <v>307.8</v>
      </c>
      <c r="AC12" s="58" t="n">
        <f aca="false">$D12*N12</f>
        <v>461.7</v>
      </c>
      <c r="AD12" s="58" t="n">
        <f aca="false">$D12*O12</f>
        <v>290.7</v>
      </c>
      <c r="AE12" s="58" t="n">
        <f aca="false">$D12*P12</f>
        <v>513</v>
      </c>
      <c r="AF12" s="58" t="n">
        <f aca="false">$D12*Q12</f>
        <v>290.7</v>
      </c>
      <c r="AG12" s="58" t="n">
        <f aca="false">$D12*R12</f>
        <v>410.4</v>
      </c>
      <c r="AH12" s="58" t="n">
        <f aca="false">$D12*S12</f>
        <v>359.1</v>
      </c>
      <c r="AI12" s="59" t="n">
        <f aca="false">AJ12/$AI$2</f>
        <v>0.41203459202535</v>
      </c>
      <c r="AJ12" s="58" t="n">
        <f aca="false">SUM(T12:AH12)</f>
        <v>6241.5</v>
      </c>
    </row>
    <row r="13" customFormat="false" ht="15" hidden="false" customHeight="false" outlineLevel="0" collapsed="false">
      <c r="H13" s="71"/>
      <c r="L13" s="71"/>
    </row>
    <row r="14" customFormat="false" ht="25.5" hidden="false" customHeight="true" outlineLevel="0" collapsed="false">
      <c r="A14" s="34" t="s">
        <v>79</v>
      </c>
      <c r="B14" s="34"/>
      <c r="C14" s="34"/>
      <c r="D14" s="34"/>
      <c r="E14" s="35" t="s">
        <v>29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6" t="s">
        <v>30</v>
      </c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7" t="s">
        <v>31</v>
      </c>
      <c r="AJ14" s="37"/>
    </row>
    <row r="15" customFormat="false" ht="15" hidden="false" customHeight="false" outlineLevel="0" collapsed="false">
      <c r="A15" s="38"/>
      <c r="B15" s="39"/>
      <c r="C15" s="39"/>
      <c r="D15" s="40"/>
      <c r="E15" s="41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3" t="n">
        <f aca="false">MROUND(SUM(T17:T26),1)</f>
        <v>914</v>
      </c>
      <c r="U15" s="43" t="n">
        <f aca="false">MROUND(SUM(U17:U26),1)</f>
        <v>1160</v>
      </c>
      <c r="V15" s="43" t="n">
        <f aca="false">MROUND(SUM(V17:V26),1)</f>
        <v>931</v>
      </c>
      <c r="W15" s="43" t="n">
        <f aca="false">MROUND(SUM(W17:W26),1)</f>
        <v>2205</v>
      </c>
      <c r="X15" s="43" t="n">
        <f aca="false">MROUND(SUM(X17:X26),1)</f>
        <v>966</v>
      </c>
      <c r="Y15" s="43" t="n">
        <f aca="false">MROUND(SUM(Y17:Y26),1)</f>
        <v>1245</v>
      </c>
      <c r="Z15" s="43" t="n">
        <f aca="false">MROUND(SUM(Z17:Z26),1)</f>
        <v>914</v>
      </c>
      <c r="AA15" s="43" t="n">
        <f aca="false">MROUND(SUM(AA17:AA26),1)</f>
        <v>2205</v>
      </c>
      <c r="AB15" s="43" t="n">
        <f aca="false">MROUND(SUM(AB17:AB26),1)</f>
        <v>931</v>
      </c>
      <c r="AC15" s="43" t="n">
        <f aca="false">MROUND(SUM(AC17:AC26),1)</f>
        <v>1211</v>
      </c>
      <c r="AD15" s="43" t="n">
        <f aca="false">MROUND(SUM(AD17:AD26),1)</f>
        <v>914</v>
      </c>
      <c r="AE15" s="43" t="n">
        <f aca="false">MROUND(SUM(AE17:AE26),1)</f>
        <v>1966</v>
      </c>
      <c r="AF15" s="43" t="n">
        <f aca="false">MROUND(SUM(AF17:AF26),1)</f>
        <v>914</v>
      </c>
      <c r="AG15" s="43" t="n">
        <f aca="false">MROUND(SUM(AG17:AG26),1)</f>
        <v>1160</v>
      </c>
      <c r="AH15" s="43" t="n">
        <f aca="false">MROUND(SUM(AH17:AH26),1)</f>
        <v>983</v>
      </c>
      <c r="AI15" s="44" t="n">
        <f aca="false">SUM(T15:AH15)</f>
        <v>18619</v>
      </c>
      <c r="AJ15" s="44"/>
    </row>
    <row r="16" customFormat="false" ht="15" hidden="false" customHeight="false" outlineLevel="0" collapsed="false">
      <c r="A16" s="45" t="s">
        <v>32</v>
      </c>
      <c r="B16" s="45" t="s">
        <v>33</v>
      </c>
      <c r="C16" s="46" t="s">
        <v>34</v>
      </c>
      <c r="D16" s="47" t="s">
        <v>35</v>
      </c>
      <c r="E16" s="48" t="s">
        <v>36</v>
      </c>
      <c r="F16" s="48" t="s">
        <v>37</v>
      </c>
      <c r="G16" s="48" t="s">
        <v>38</v>
      </c>
      <c r="H16" s="48" t="s">
        <v>39</v>
      </c>
      <c r="I16" s="48" t="s">
        <v>40</v>
      </c>
      <c r="J16" s="48" t="s">
        <v>41</v>
      </c>
      <c r="K16" s="48" t="s">
        <v>42</v>
      </c>
      <c r="L16" s="48" t="s">
        <v>43</v>
      </c>
      <c r="M16" s="48" t="s">
        <v>44</v>
      </c>
      <c r="N16" s="49" t="s">
        <v>45</v>
      </c>
      <c r="O16" s="49" t="n">
        <v>11</v>
      </c>
      <c r="P16" s="49" t="n">
        <v>12</v>
      </c>
      <c r="Q16" s="49" t="n">
        <v>13</v>
      </c>
      <c r="R16" s="49" t="n">
        <v>14</v>
      </c>
      <c r="S16" s="49" t="n">
        <v>15</v>
      </c>
      <c r="T16" s="48" t="n">
        <v>10000</v>
      </c>
      <c r="U16" s="48" t="n">
        <v>20000</v>
      </c>
      <c r="V16" s="48" t="n">
        <v>30000</v>
      </c>
      <c r="W16" s="48" t="n">
        <v>40000</v>
      </c>
      <c r="X16" s="48" t="n">
        <v>50000</v>
      </c>
      <c r="Y16" s="48" t="n">
        <v>60000</v>
      </c>
      <c r="Z16" s="48" t="n">
        <v>70000</v>
      </c>
      <c r="AA16" s="48" t="n">
        <v>80000</v>
      </c>
      <c r="AB16" s="48" t="n">
        <v>90000</v>
      </c>
      <c r="AC16" s="48" t="n">
        <v>100000</v>
      </c>
      <c r="AD16" s="50" t="n">
        <f aca="false">AC16+10000</f>
        <v>110000</v>
      </c>
      <c r="AE16" s="50" t="n">
        <f aca="false">AD16+10000</f>
        <v>120000</v>
      </c>
      <c r="AF16" s="50" t="n">
        <f aca="false">AE16+10000</f>
        <v>130000</v>
      </c>
      <c r="AG16" s="50" t="n">
        <f aca="false">AF16+10000</f>
        <v>140000</v>
      </c>
      <c r="AH16" s="50" t="n">
        <f aca="false">AG16+10000</f>
        <v>150000</v>
      </c>
      <c r="AI16" s="51" t="s">
        <v>46</v>
      </c>
      <c r="AJ16" s="45" t="s">
        <v>47</v>
      </c>
    </row>
    <row r="17" customFormat="false" ht="15" hidden="false" customHeight="false" outlineLevel="0" collapsed="false">
      <c r="A17" s="52" t="n">
        <v>1</v>
      </c>
      <c r="B17" s="72" t="s">
        <v>67</v>
      </c>
      <c r="C17" s="54" t="s">
        <v>49</v>
      </c>
      <c r="D17" s="55" t="n">
        <f aca="false">VLOOKUP(C17,'[1]PREÇO ATUAL'!$A$1:$D$1048576,4,0)</f>
        <v>79.9</v>
      </c>
      <c r="E17" s="56" t="n">
        <v>1</v>
      </c>
      <c r="F17" s="56" t="n">
        <v>1</v>
      </c>
      <c r="G17" s="56" t="n">
        <v>1</v>
      </c>
      <c r="H17" s="56" t="n">
        <v>1</v>
      </c>
      <c r="I17" s="57" t="n">
        <v>1</v>
      </c>
      <c r="J17" s="57" t="n">
        <v>1</v>
      </c>
      <c r="K17" s="57" t="n">
        <v>1</v>
      </c>
      <c r="L17" s="57" t="n">
        <v>1</v>
      </c>
      <c r="M17" s="57" t="n">
        <v>1</v>
      </c>
      <c r="N17" s="57" t="n">
        <v>1</v>
      </c>
      <c r="O17" s="57" t="n">
        <v>1</v>
      </c>
      <c r="P17" s="57" t="n">
        <v>1</v>
      </c>
      <c r="Q17" s="57" t="n">
        <v>1</v>
      </c>
      <c r="R17" s="57" t="n">
        <v>1</v>
      </c>
      <c r="S17" s="57" t="n">
        <v>1</v>
      </c>
      <c r="T17" s="58" t="n">
        <f aca="false">$D17*E17</f>
        <v>79.9</v>
      </c>
      <c r="U17" s="58" t="n">
        <f aca="false">$D17*F17</f>
        <v>79.9</v>
      </c>
      <c r="V17" s="58" t="n">
        <f aca="false">$D17*G17</f>
        <v>79.9</v>
      </c>
      <c r="W17" s="58" t="n">
        <f aca="false">$D17*H17</f>
        <v>79.9</v>
      </c>
      <c r="X17" s="58" t="n">
        <f aca="false">$D17*I17</f>
        <v>79.9</v>
      </c>
      <c r="Y17" s="58" t="n">
        <f aca="false">$D17*J17</f>
        <v>79.9</v>
      </c>
      <c r="Z17" s="58" t="n">
        <f aca="false">$D17*K17</f>
        <v>79.9</v>
      </c>
      <c r="AA17" s="58" t="n">
        <f aca="false">$D17*L17</f>
        <v>79.9</v>
      </c>
      <c r="AB17" s="58" t="n">
        <f aca="false">$D17*M17</f>
        <v>79.9</v>
      </c>
      <c r="AC17" s="58" t="n">
        <f aca="false">$D17*N17</f>
        <v>79.9</v>
      </c>
      <c r="AD17" s="58" t="n">
        <f aca="false">$D17*O17</f>
        <v>79.9</v>
      </c>
      <c r="AE17" s="58" t="n">
        <f aca="false">$D17*P17</f>
        <v>79.9</v>
      </c>
      <c r="AF17" s="58" t="n">
        <f aca="false">$D17*Q17</f>
        <v>79.9</v>
      </c>
      <c r="AG17" s="58" t="n">
        <f aca="false">$D17*R17</f>
        <v>79.9</v>
      </c>
      <c r="AH17" s="58" t="n">
        <f aca="false">$D17*S17</f>
        <v>79.9</v>
      </c>
      <c r="AI17" s="59" t="n">
        <f aca="false">AJ17/$AI$2</f>
        <v>0.0791193556905202</v>
      </c>
      <c r="AJ17" s="58" t="n">
        <f aca="false">SUM(T17:AH17)</f>
        <v>1198.5</v>
      </c>
    </row>
    <row r="18" customFormat="false" ht="15" hidden="false" customHeight="false" outlineLevel="0" collapsed="false">
      <c r="A18" s="60" t="n">
        <v>2</v>
      </c>
      <c r="B18" s="73" t="s">
        <v>50</v>
      </c>
      <c r="C18" s="62" t="s">
        <v>51</v>
      </c>
      <c r="D18" s="63" t="n">
        <f aca="false">VLOOKUP(C18,'[1]PREÇO ATUAL'!$A$1:$D$1048576,4,0)</f>
        <v>35.9</v>
      </c>
      <c r="E18" s="64"/>
      <c r="F18" s="64" t="n">
        <v>1</v>
      </c>
      <c r="G18" s="64"/>
      <c r="H18" s="64" t="n">
        <v>1</v>
      </c>
      <c r="I18" s="65"/>
      <c r="J18" s="64" t="n">
        <v>1</v>
      </c>
      <c r="K18" s="65"/>
      <c r="L18" s="64" t="n">
        <v>1</v>
      </c>
      <c r="M18" s="65"/>
      <c r="N18" s="64" t="n">
        <v>1</v>
      </c>
      <c r="O18" s="65"/>
      <c r="P18" s="64" t="n">
        <v>1</v>
      </c>
      <c r="Q18" s="65"/>
      <c r="R18" s="64" t="n">
        <v>1</v>
      </c>
      <c r="S18" s="65"/>
      <c r="T18" s="66" t="n">
        <f aca="false">$D18*E18</f>
        <v>0</v>
      </c>
      <c r="U18" s="66" t="n">
        <f aca="false">$D18*F18</f>
        <v>35.9</v>
      </c>
      <c r="V18" s="66" t="n">
        <f aca="false">$D18*G18</f>
        <v>0</v>
      </c>
      <c r="W18" s="66" t="n">
        <f aca="false">$D18*H18</f>
        <v>35.9</v>
      </c>
      <c r="X18" s="66" t="n">
        <f aca="false">$D18*I18</f>
        <v>0</v>
      </c>
      <c r="Y18" s="66" t="n">
        <f aca="false">$D18*J18</f>
        <v>35.9</v>
      </c>
      <c r="Z18" s="66" t="n">
        <f aca="false">$D18*K18</f>
        <v>0</v>
      </c>
      <c r="AA18" s="66" t="n">
        <f aca="false">$D18*L18</f>
        <v>35.9</v>
      </c>
      <c r="AB18" s="66" t="n">
        <f aca="false">$D18*M18</f>
        <v>0</v>
      </c>
      <c r="AC18" s="66" t="n">
        <f aca="false">$D18*N18</f>
        <v>35.9</v>
      </c>
      <c r="AD18" s="66" t="n">
        <f aca="false">$D18*O18</f>
        <v>0</v>
      </c>
      <c r="AE18" s="66" t="n">
        <f aca="false">$D18*P18</f>
        <v>35.9</v>
      </c>
      <c r="AF18" s="66" t="n">
        <f aca="false">$D18*Q18</f>
        <v>0</v>
      </c>
      <c r="AG18" s="66" t="n">
        <f aca="false">$D18*R18</f>
        <v>35.9</v>
      </c>
      <c r="AH18" s="66" t="n">
        <f aca="false">$D18*S18</f>
        <v>0</v>
      </c>
      <c r="AI18" s="67" t="n">
        <f aca="false">AJ18/$AI$2</f>
        <v>0.0165896487985213</v>
      </c>
      <c r="AJ18" s="66" t="n">
        <f aca="false">SUM(T18:AH18)</f>
        <v>251.3</v>
      </c>
    </row>
    <row r="19" customFormat="false" ht="15" hidden="false" customHeight="false" outlineLevel="0" collapsed="false">
      <c r="A19" s="52" t="n">
        <v>3</v>
      </c>
      <c r="B19" s="72" t="s">
        <v>68</v>
      </c>
      <c r="C19" s="54" t="s">
        <v>53</v>
      </c>
      <c r="D19" s="55" t="n">
        <f aca="false">VLOOKUP(C19,'[1]PREÇO ATUAL'!$A$1:$D$1048576,4,0)</f>
        <v>89.9</v>
      </c>
      <c r="E19" s="56"/>
      <c r="F19" s="56" t="n">
        <v>1</v>
      </c>
      <c r="G19" s="56"/>
      <c r="H19" s="56" t="n">
        <v>1</v>
      </c>
      <c r="I19" s="57"/>
      <c r="J19" s="56" t="n">
        <v>1</v>
      </c>
      <c r="K19" s="57"/>
      <c r="L19" s="56" t="n">
        <v>1</v>
      </c>
      <c r="M19" s="57"/>
      <c r="N19" s="56" t="n">
        <v>1</v>
      </c>
      <c r="O19" s="57"/>
      <c r="P19" s="56" t="n">
        <v>1</v>
      </c>
      <c r="Q19" s="57"/>
      <c r="R19" s="56" t="n">
        <v>1</v>
      </c>
      <c r="S19" s="57"/>
      <c r="T19" s="58" t="n">
        <f aca="false">$D19*E19</f>
        <v>0</v>
      </c>
      <c r="U19" s="58" t="n">
        <f aca="false">$D19*F19</f>
        <v>89.9</v>
      </c>
      <c r="V19" s="58" t="n">
        <f aca="false">$D19*G19</f>
        <v>0</v>
      </c>
      <c r="W19" s="58" t="n">
        <f aca="false">$D19*H19</f>
        <v>89.9</v>
      </c>
      <c r="X19" s="58" t="n">
        <f aca="false">$D19*I19</f>
        <v>0</v>
      </c>
      <c r="Y19" s="58" t="n">
        <f aca="false">$D19*J19</f>
        <v>89.9</v>
      </c>
      <c r="Z19" s="58" t="n">
        <f aca="false">$D19*K19</f>
        <v>0</v>
      </c>
      <c r="AA19" s="58" t="n">
        <f aca="false">$D19*L19</f>
        <v>89.9</v>
      </c>
      <c r="AB19" s="58" t="n">
        <f aca="false">$D19*M19</f>
        <v>0</v>
      </c>
      <c r="AC19" s="58" t="n">
        <f aca="false">$D19*N19</f>
        <v>89.9</v>
      </c>
      <c r="AD19" s="58" t="n">
        <f aca="false">$D19*O19</f>
        <v>0</v>
      </c>
      <c r="AE19" s="58" t="n">
        <f aca="false">$D19*P19</f>
        <v>89.9</v>
      </c>
      <c r="AF19" s="58" t="n">
        <f aca="false">$D19*Q19</f>
        <v>0</v>
      </c>
      <c r="AG19" s="58" t="n">
        <f aca="false">$D19*R19</f>
        <v>89.9</v>
      </c>
      <c r="AH19" s="58" t="n">
        <f aca="false">$D19*S19</f>
        <v>0</v>
      </c>
      <c r="AI19" s="59" t="n">
        <f aca="false">AJ19/$AI$2</f>
        <v>0.041543438077634</v>
      </c>
      <c r="AJ19" s="58" t="n">
        <f aca="false">SUM(T19:AH19)</f>
        <v>629.3</v>
      </c>
    </row>
    <row r="20" customFormat="false" ht="15" hidden="false" customHeight="false" outlineLevel="0" collapsed="false">
      <c r="A20" s="60" t="n">
        <v>4</v>
      </c>
      <c r="B20" s="73" t="s">
        <v>69</v>
      </c>
      <c r="C20" s="62" t="s">
        <v>70</v>
      </c>
      <c r="D20" s="63" t="n">
        <f aca="false">VLOOKUP(C20,'[1]PREÇO ATUAL'!$A$1:$D$1048576,4,0)</f>
        <v>199.05</v>
      </c>
      <c r="E20" s="64" t="n">
        <v>1</v>
      </c>
      <c r="F20" s="64" t="n">
        <v>1</v>
      </c>
      <c r="G20" s="64" t="n">
        <v>1</v>
      </c>
      <c r="H20" s="64" t="n">
        <v>1</v>
      </c>
      <c r="I20" s="65" t="n">
        <v>1</v>
      </c>
      <c r="J20" s="65" t="n">
        <v>1</v>
      </c>
      <c r="K20" s="65" t="n">
        <v>1</v>
      </c>
      <c r="L20" s="65" t="n">
        <v>1</v>
      </c>
      <c r="M20" s="65" t="n">
        <v>1</v>
      </c>
      <c r="N20" s="65" t="n">
        <v>1</v>
      </c>
      <c r="O20" s="65" t="n">
        <v>1</v>
      </c>
      <c r="P20" s="65" t="n">
        <v>1</v>
      </c>
      <c r="Q20" s="65" t="n">
        <v>1</v>
      </c>
      <c r="R20" s="65" t="n">
        <v>1</v>
      </c>
      <c r="S20" s="65" t="n">
        <v>1</v>
      </c>
      <c r="T20" s="66" t="n">
        <f aca="false">$D20*E20</f>
        <v>199.05</v>
      </c>
      <c r="U20" s="66" t="n">
        <f aca="false">$D20*F20</f>
        <v>199.05</v>
      </c>
      <c r="V20" s="66" t="n">
        <f aca="false">$D20*G20</f>
        <v>199.05</v>
      </c>
      <c r="W20" s="66" t="n">
        <f aca="false">$D20*H20</f>
        <v>199.05</v>
      </c>
      <c r="X20" s="66" t="n">
        <f aca="false">$D20*I20</f>
        <v>199.05</v>
      </c>
      <c r="Y20" s="66" t="n">
        <f aca="false">$D20*J20</f>
        <v>199.05</v>
      </c>
      <c r="Z20" s="66" t="n">
        <f aca="false">$D20*K20</f>
        <v>199.05</v>
      </c>
      <c r="AA20" s="66" t="n">
        <f aca="false">$D20*L20</f>
        <v>199.05</v>
      </c>
      <c r="AB20" s="66" t="n">
        <f aca="false">$D20*M20</f>
        <v>199.05</v>
      </c>
      <c r="AC20" s="66" t="n">
        <f aca="false">$D20*N20</f>
        <v>199.05</v>
      </c>
      <c r="AD20" s="66" t="n">
        <f aca="false">$D20*O20</f>
        <v>199.05</v>
      </c>
      <c r="AE20" s="66" t="n">
        <f aca="false">$D20*P20</f>
        <v>199.05</v>
      </c>
      <c r="AF20" s="66" t="n">
        <f aca="false">$D20*Q20</f>
        <v>199.05</v>
      </c>
      <c r="AG20" s="66" t="n">
        <f aca="false">$D20*R20</f>
        <v>199.05</v>
      </c>
      <c r="AH20" s="66" t="n">
        <f aca="false">$D20*S20</f>
        <v>199.05</v>
      </c>
      <c r="AI20" s="67" t="n">
        <f aca="false">AJ20/$AI$2</f>
        <v>0.197105228412992</v>
      </c>
      <c r="AJ20" s="66" t="n">
        <f aca="false">SUM(T20:AH20)</f>
        <v>2985.75</v>
      </c>
    </row>
    <row r="21" customFormat="false" ht="25.5" hidden="false" customHeight="false" outlineLevel="0" collapsed="false">
      <c r="A21" s="52" t="n">
        <v>5</v>
      </c>
      <c r="B21" s="72" t="s">
        <v>71</v>
      </c>
      <c r="C21" s="54" t="s">
        <v>55</v>
      </c>
      <c r="D21" s="55" t="n">
        <f aca="false">VLOOKUP(C21,'[1]PREÇO ATUAL'!$A$1:$D$1048576,4,0)</f>
        <v>175.9</v>
      </c>
      <c r="E21" s="56"/>
      <c r="F21" s="56"/>
      <c r="G21" s="56"/>
      <c r="H21" s="56" t="n">
        <v>4</v>
      </c>
      <c r="I21" s="57"/>
      <c r="J21" s="57"/>
      <c r="K21" s="57"/>
      <c r="L21" s="56" t="n">
        <v>4</v>
      </c>
      <c r="M21" s="57"/>
      <c r="N21" s="57"/>
      <c r="O21" s="57"/>
      <c r="P21" s="56" t="n">
        <v>4</v>
      </c>
      <c r="Q21" s="57"/>
      <c r="R21" s="57"/>
      <c r="S21" s="57"/>
      <c r="T21" s="58" t="n">
        <f aca="false">$D21*E21</f>
        <v>0</v>
      </c>
      <c r="U21" s="58" t="n">
        <f aca="false">$D21*F21</f>
        <v>0</v>
      </c>
      <c r="V21" s="58" t="n">
        <f aca="false">$D21*G21</f>
        <v>0</v>
      </c>
      <c r="W21" s="58" t="n">
        <f aca="false">$D21*H21</f>
        <v>703.6</v>
      </c>
      <c r="X21" s="58" t="n">
        <f aca="false">$D21*I21</f>
        <v>0</v>
      </c>
      <c r="Y21" s="58" t="n">
        <f aca="false">$D21*J21</f>
        <v>0</v>
      </c>
      <c r="Z21" s="58" t="n">
        <f aca="false">$D21*K21</f>
        <v>0</v>
      </c>
      <c r="AA21" s="58" t="n">
        <f aca="false">$D21*L21</f>
        <v>703.6</v>
      </c>
      <c r="AB21" s="58" t="n">
        <f aca="false">$D21*M21</f>
        <v>0</v>
      </c>
      <c r="AC21" s="58" t="n">
        <f aca="false">$D21*N21</f>
        <v>0</v>
      </c>
      <c r="AD21" s="58" t="n">
        <f aca="false">$D21*O21</f>
        <v>0</v>
      </c>
      <c r="AE21" s="58" t="n">
        <f aca="false">$D21*P21</f>
        <v>703.6</v>
      </c>
      <c r="AF21" s="58" t="n">
        <f aca="false">$D21*Q21</f>
        <v>0</v>
      </c>
      <c r="AG21" s="58" t="n">
        <f aca="false">$D21*R21</f>
        <v>0</v>
      </c>
      <c r="AH21" s="58" t="n">
        <f aca="false">$D21*S21</f>
        <v>0</v>
      </c>
      <c r="AI21" s="59" t="n">
        <f aca="false">AJ21/$AI$2</f>
        <v>0.139345128069712</v>
      </c>
      <c r="AJ21" s="58" t="n">
        <f aca="false">SUM(T21:AH21)</f>
        <v>2110.8</v>
      </c>
    </row>
    <row r="22" customFormat="false" ht="25.5" hidden="false" customHeight="false" outlineLevel="0" collapsed="false">
      <c r="A22" s="60" t="n">
        <v>6</v>
      </c>
      <c r="B22" s="73" t="s">
        <v>72</v>
      </c>
      <c r="C22" s="62" t="s">
        <v>57</v>
      </c>
      <c r="D22" s="63" t="n">
        <f aca="false">VLOOKUP(C22,'[1]PREÇO ATUAL'!$A$1:$D$1048576,4,0)</f>
        <v>143.23</v>
      </c>
      <c r="E22" s="64"/>
      <c r="F22" s="64"/>
      <c r="G22" s="64"/>
      <c r="H22" s="64"/>
      <c r="I22" s="65"/>
      <c r="J22" s="65"/>
      <c r="K22" s="65"/>
      <c r="L22" s="65"/>
      <c r="M22" s="65"/>
      <c r="N22" s="65"/>
      <c r="O22" s="65"/>
      <c r="P22" s="68"/>
      <c r="Q22" s="65"/>
      <c r="R22" s="65"/>
      <c r="S22" s="65"/>
      <c r="T22" s="66" t="n">
        <f aca="false">$D22*E22</f>
        <v>0</v>
      </c>
      <c r="U22" s="66" t="n">
        <f aca="false">$D22*F22</f>
        <v>0</v>
      </c>
      <c r="V22" s="66" t="n">
        <f aca="false">$D22*G22</f>
        <v>0</v>
      </c>
      <c r="W22" s="66" t="n">
        <f aca="false">$D22*H22</f>
        <v>0</v>
      </c>
      <c r="X22" s="66" t="n">
        <f aca="false">$D22*I22</f>
        <v>0</v>
      </c>
      <c r="Y22" s="66" t="n">
        <f aca="false">$D22*J22</f>
        <v>0</v>
      </c>
      <c r="Z22" s="66" t="n">
        <f aca="false">$D22*K22</f>
        <v>0</v>
      </c>
      <c r="AA22" s="66" t="n">
        <f aca="false">$D22*L22</f>
        <v>0</v>
      </c>
      <c r="AB22" s="66" t="n">
        <f aca="false">$D22*M22</f>
        <v>0</v>
      </c>
      <c r="AC22" s="66" t="n">
        <f aca="false">$D22*N22</f>
        <v>0</v>
      </c>
      <c r="AD22" s="66" t="n">
        <f aca="false">$D22*O22</f>
        <v>0</v>
      </c>
      <c r="AE22" s="66" t="n">
        <f aca="false">$D22*P22</f>
        <v>0</v>
      </c>
      <c r="AF22" s="66" t="n">
        <f aca="false">$D22*Q22</f>
        <v>0</v>
      </c>
      <c r="AG22" s="66" t="n">
        <f aca="false">$D22*R22</f>
        <v>0</v>
      </c>
      <c r="AH22" s="66" t="n">
        <f aca="false">$D22*S22</f>
        <v>0</v>
      </c>
      <c r="AI22" s="67" t="n">
        <f aca="false">AJ22/$AI$2</f>
        <v>0</v>
      </c>
      <c r="AJ22" s="66" t="n">
        <f aca="false">SUM(T22:AH22)</f>
        <v>0</v>
      </c>
    </row>
    <row r="23" customFormat="false" ht="15" hidden="false" customHeight="false" outlineLevel="0" collapsed="false">
      <c r="A23" s="52" t="n">
        <v>7</v>
      </c>
      <c r="B23" s="72" t="s">
        <v>73</v>
      </c>
      <c r="C23" s="54" t="s">
        <v>59</v>
      </c>
      <c r="D23" s="55" t="n">
        <f aca="false">VLOOKUP(C23,'[1]PREÇO ATUAL'!$A$1:$D$1048576,4,0)</f>
        <v>165.97812</v>
      </c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58" t="n">
        <f aca="false">$D23*E23</f>
        <v>0</v>
      </c>
      <c r="U23" s="58" t="n">
        <f aca="false">$D23*F23</f>
        <v>0</v>
      </c>
      <c r="V23" s="58" t="n">
        <f aca="false">$D23*G23</f>
        <v>0</v>
      </c>
      <c r="W23" s="58" t="n">
        <f aca="false">$D23*H23</f>
        <v>0</v>
      </c>
      <c r="X23" s="58" t="n">
        <f aca="false">$D23*I23</f>
        <v>0</v>
      </c>
      <c r="Y23" s="58" t="n">
        <f aca="false">$D23*J23</f>
        <v>0</v>
      </c>
      <c r="Z23" s="58" t="n">
        <f aca="false">$D23*K23</f>
        <v>0</v>
      </c>
      <c r="AA23" s="58" t="n">
        <f aca="false">$D23*L23</f>
        <v>0</v>
      </c>
      <c r="AB23" s="58" t="n">
        <f aca="false">$D23*M23</f>
        <v>0</v>
      </c>
      <c r="AC23" s="58" t="n">
        <f aca="false">$D23*N23</f>
        <v>0</v>
      </c>
      <c r="AD23" s="58" t="n">
        <f aca="false">$D23*O23</f>
        <v>0</v>
      </c>
      <c r="AE23" s="58" t="n">
        <f aca="false">$D23*P23</f>
        <v>0</v>
      </c>
      <c r="AF23" s="58" t="n">
        <f aca="false">$D23*Q23</f>
        <v>0</v>
      </c>
      <c r="AG23" s="58" t="n">
        <f aca="false">$D23*R23</f>
        <v>0</v>
      </c>
      <c r="AH23" s="58" t="n">
        <f aca="false">$D23*S23</f>
        <v>0</v>
      </c>
      <c r="AI23" s="59" t="n">
        <f aca="false">AJ23/$AI$2</f>
        <v>0</v>
      </c>
      <c r="AJ23" s="58" t="n">
        <f aca="false">SUM(T23:AH23)</f>
        <v>0</v>
      </c>
    </row>
    <row r="24" customFormat="false" ht="25.5" hidden="false" customHeight="false" outlineLevel="0" collapsed="false">
      <c r="A24" s="60" t="n">
        <v>8</v>
      </c>
      <c r="B24" s="73" t="s">
        <v>74</v>
      </c>
      <c r="C24" s="62" t="s">
        <v>61</v>
      </c>
      <c r="D24" s="63" t="n">
        <f aca="false">VLOOKUP(C24,'[1]PREÇO ATUAL'!$A$1:$D$1048576,4,0)</f>
        <v>33.6224930838505</v>
      </c>
      <c r="E24" s="70"/>
      <c r="F24" s="70"/>
      <c r="G24" s="70"/>
      <c r="H24" s="70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6" t="n">
        <f aca="false">$D24*E24</f>
        <v>0</v>
      </c>
      <c r="U24" s="66" t="n">
        <f aca="false">$D24*F24</f>
        <v>0</v>
      </c>
      <c r="V24" s="66" t="n">
        <f aca="false">$D24*G24</f>
        <v>0</v>
      </c>
      <c r="W24" s="66" t="n">
        <f aca="false">$D24*H24</f>
        <v>0</v>
      </c>
      <c r="X24" s="66" t="n">
        <f aca="false">$D24*I24</f>
        <v>0</v>
      </c>
      <c r="Y24" s="66" t="n">
        <f aca="false">$D24*J24</f>
        <v>0</v>
      </c>
      <c r="Z24" s="66" t="n">
        <f aca="false">$D24*K24</f>
        <v>0</v>
      </c>
      <c r="AA24" s="66" t="n">
        <f aca="false">$D24*L24</f>
        <v>0</v>
      </c>
      <c r="AB24" s="66" t="n">
        <f aca="false">$D24*M24</f>
        <v>0</v>
      </c>
      <c r="AC24" s="66" t="n">
        <f aca="false">$D24*N24</f>
        <v>0</v>
      </c>
      <c r="AD24" s="66" t="n">
        <f aca="false">$D24*O24</f>
        <v>0</v>
      </c>
      <c r="AE24" s="66" t="n">
        <f aca="false">$D24*P24</f>
        <v>0</v>
      </c>
      <c r="AF24" s="66" t="n">
        <f aca="false">$D24*Q24</f>
        <v>0</v>
      </c>
      <c r="AG24" s="66" t="n">
        <f aca="false">$D24*R24</f>
        <v>0</v>
      </c>
      <c r="AH24" s="66" t="n">
        <f aca="false">$D24*S24</f>
        <v>0</v>
      </c>
      <c r="AI24" s="67" t="n">
        <f aca="false">AJ24/$AI$2</f>
        <v>0</v>
      </c>
      <c r="AJ24" s="66" t="n">
        <f aca="false">SUM(T24:AH24)</f>
        <v>0</v>
      </c>
    </row>
    <row r="25" customFormat="false" ht="25.5" hidden="false" customHeight="false" outlineLevel="0" collapsed="false">
      <c r="A25" s="52" t="n">
        <v>9</v>
      </c>
      <c r="B25" s="72" t="s">
        <v>75</v>
      </c>
      <c r="C25" s="54" t="s">
        <v>63</v>
      </c>
      <c r="D25" s="55" t="n">
        <f aca="false">VLOOKUP(C25,'[1]PREÇO ATUAL'!$A$1:$D$1048576,4,0)</f>
        <v>81.26</v>
      </c>
      <c r="E25" s="69" t="n">
        <v>3.4</v>
      </c>
      <c r="F25" s="69" t="n">
        <v>3.4</v>
      </c>
      <c r="G25" s="69" t="n">
        <v>3.4</v>
      </c>
      <c r="H25" s="69" t="n">
        <v>3.4</v>
      </c>
      <c r="I25" s="69" t="n">
        <v>3.4</v>
      </c>
      <c r="J25" s="69" t="n">
        <v>3.4</v>
      </c>
      <c r="K25" s="69" t="n">
        <v>3.4</v>
      </c>
      <c r="L25" s="69" t="n">
        <v>3.4</v>
      </c>
      <c r="M25" s="69" t="n">
        <v>3.4</v>
      </c>
      <c r="N25" s="69" t="n">
        <v>3.4</v>
      </c>
      <c r="O25" s="69" t="n">
        <v>3.4</v>
      </c>
      <c r="P25" s="69" t="n">
        <v>3.4</v>
      </c>
      <c r="Q25" s="69" t="n">
        <v>3.4</v>
      </c>
      <c r="R25" s="69" t="n">
        <v>3.4</v>
      </c>
      <c r="S25" s="69" t="n">
        <v>3.4</v>
      </c>
      <c r="T25" s="58" t="n">
        <f aca="false">$D25*E25</f>
        <v>276.284</v>
      </c>
      <c r="U25" s="58" t="n">
        <f aca="false">$D25*F25</f>
        <v>276.284</v>
      </c>
      <c r="V25" s="58" t="n">
        <f aca="false">$D25*G25</f>
        <v>276.284</v>
      </c>
      <c r="W25" s="58" t="n">
        <f aca="false">$D25*H25</f>
        <v>276.284</v>
      </c>
      <c r="X25" s="58" t="n">
        <f aca="false">$D25*I25</f>
        <v>276.284</v>
      </c>
      <c r="Y25" s="58" t="n">
        <f aca="false">$D25*J25</f>
        <v>276.284</v>
      </c>
      <c r="Z25" s="58" t="n">
        <f aca="false">$D25*K25</f>
        <v>276.284</v>
      </c>
      <c r="AA25" s="58" t="n">
        <f aca="false">$D25*L25</f>
        <v>276.284</v>
      </c>
      <c r="AB25" s="58" t="n">
        <f aca="false">$D25*M25</f>
        <v>276.284</v>
      </c>
      <c r="AC25" s="58" t="n">
        <f aca="false">$D25*N25</f>
        <v>276.284</v>
      </c>
      <c r="AD25" s="58" t="n">
        <f aca="false">$D25*O25</f>
        <v>276.284</v>
      </c>
      <c r="AE25" s="58" t="n">
        <f aca="false">$D25*P25</f>
        <v>276.284</v>
      </c>
      <c r="AF25" s="58" t="n">
        <f aca="false">$D25*Q25</f>
        <v>276.284</v>
      </c>
      <c r="AG25" s="58" t="n">
        <f aca="false">$D25*R25</f>
        <v>276.284</v>
      </c>
      <c r="AH25" s="58" t="n">
        <f aca="false">$D25*S25</f>
        <v>276.284</v>
      </c>
      <c r="AI25" s="59" t="n">
        <f aca="false">AJ25/$AI$2</f>
        <v>0.273584631634539</v>
      </c>
      <c r="AJ25" s="58" t="n">
        <f aca="false">SUM(T25:AH25)</f>
        <v>4144.26</v>
      </c>
    </row>
    <row r="26" customFormat="false" ht="15" hidden="false" customHeight="false" outlineLevel="0" collapsed="false">
      <c r="A26" s="60" t="n">
        <v>10</v>
      </c>
      <c r="B26" s="73" t="s">
        <v>64</v>
      </c>
      <c r="C26" s="62" t="s">
        <v>65</v>
      </c>
      <c r="D26" s="63" t="n">
        <f aca="false">VLOOKUP(C26,'[1]PREÇO ATUAL'!$A$1:$D$1048576,4,0)</f>
        <v>342</v>
      </c>
      <c r="E26" s="70" t="n">
        <v>1.05</v>
      </c>
      <c r="F26" s="70" t="n">
        <v>1.4</v>
      </c>
      <c r="G26" s="70" t="n">
        <v>1.1</v>
      </c>
      <c r="H26" s="70" t="n">
        <v>2.4</v>
      </c>
      <c r="I26" s="63" t="n">
        <v>1.2</v>
      </c>
      <c r="J26" s="63" t="n">
        <v>1.65</v>
      </c>
      <c r="K26" s="63" t="n">
        <v>1.05</v>
      </c>
      <c r="L26" s="63" t="n">
        <v>2.4</v>
      </c>
      <c r="M26" s="63" t="n">
        <v>1.1</v>
      </c>
      <c r="N26" s="63" t="n">
        <v>1.55</v>
      </c>
      <c r="O26" s="63" t="n">
        <v>1.05</v>
      </c>
      <c r="P26" s="63" t="n">
        <v>1.7</v>
      </c>
      <c r="Q26" s="63" t="n">
        <v>1.05</v>
      </c>
      <c r="R26" s="63" t="n">
        <v>1.4</v>
      </c>
      <c r="S26" s="63" t="n">
        <v>1.25</v>
      </c>
      <c r="T26" s="66" t="n">
        <f aca="false">$D26*E26</f>
        <v>359.1</v>
      </c>
      <c r="U26" s="66" t="n">
        <f aca="false">$D26*F26</f>
        <v>478.8</v>
      </c>
      <c r="V26" s="66" t="n">
        <f aca="false">$D26*G26</f>
        <v>376.2</v>
      </c>
      <c r="W26" s="66" t="n">
        <f aca="false">$D26*H26</f>
        <v>820.8</v>
      </c>
      <c r="X26" s="66" t="n">
        <f aca="false">$D26*I26</f>
        <v>410.4</v>
      </c>
      <c r="Y26" s="66" t="n">
        <f aca="false">$D26*J26</f>
        <v>564.3</v>
      </c>
      <c r="Z26" s="66" t="n">
        <f aca="false">$D26*K26</f>
        <v>359.1</v>
      </c>
      <c r="AA26" s="66" t="n">
        <f aca="false">$D26*L26</f>
        <v>820.8</v>
      </c>
      <c r="AB26" s="66" t="n">
        <f aca="false">$D26*M26</f>
        <v>376.2</v>
      </c>
      <c r="AC26" s="66" t="n">
        <f aca="false">$D26*N26</f>
        <v>530.1</v>
      </c>
      <c r="AD26" s="66" t="n">
        <f aca="false">$D26*O26</f>
        <v>359.1</v>
      </c>
      <c r="AE26" s="66" t="n">
        <f aca="false">$D26*P26</f>
        <v>581.4</v>
      </c>
      <c r="AF26" s="66" t="n">
        <f aca="false">$D26*Q26</f>
        <v>359.1</v>
      </c>
      <c r="AG26" s="66" t="n">
        <f aca="false">$D26*R26</f>
        <v>478.8</v>
      </c>
      <c r="AH26" s="66" t="n">
        <f aca="false">$D26*S26</f>
        <v>427.5</v>
      </c>
      <c r="AI26" s="67" t="n">
        <f aca="false">AJ26/$AI$2</f>
        <v>0.482024029574861</v>
      </c>
      <c r="AJ26" s="66" t="n">
        <f aca="false">SUM(T26:AH26)</f>
        <v>7301.7</v>
      </c>
    </row>
    <row r="27" customFormat="false" ht="15.75" hidden="false" customHeight="true" outlineLevel="0" collapsed="false"/>
    <row r="28" customFormat="false" ht="25.5" hidden="false" customHeight="true" outlineLevel="0" collapsed="false">
      <c r="A28" s="34" t="s">
        <v>80</v>
      </c>
      <c r="B28" s="34"/>
      <c r="C28" s="34"/>
      <c r="D28" s="34"/>
      <c r="E28" s="35" t="s">
        <v>29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6" t="s">
        <v>30</v>
      </c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7" t="s">
        <v>31</v>
      </c>
      <c r="AJ28" s="37"/>
    </row>
    <row r="29" customFormat="false" ht="15" hidden="false" customHeight="false" outlineLevel="0" collapsed="false">
      <c r="A29" s="38"/>
      <c r="B29" s="39"/>
      <c r="C29" s="39"/>
      <c r="D29" s="40"/>
      <c r="E29" s="41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3" t="n">
        <f aca="false">MROUND(SUM(T31:T39),1)</f>
        <v>914</v>
      </c>
      <c r="U29" s="43" t="n">
        <f aca="false">MROUND(SUM(U31:U39),1)</f>
        <v>1160</v>
      </c>
      <c r="V29" s="43" t="n">
        <f aca="false">MROUND(SUM(V31:V39),1)</f>
        <v>931</v>
      </c>
      <c r="W29" s="43" t="n">
        <f aca="false">MROUND(SUM(W31:W39),1)</f>
        <v>2205</v>
      </c>
      <c r="X29" s="43" t="n">
        <f aca="false">MROUND(SUM(X31:X39),1)</f>
        <v>966</v>
      </c>
      <c r="Y29" s="43" t="n">
        <f aca="false">MROUND(SUM(Y31:Y39),1)</f>
        <v>1245</v>
      </c>
      <c r="Z29" s="43" t="n">
        <f aca="false">MROUND(SUM(Z31:Z39),1)</f>
        <v>914</v>
      </c>
      <c r="AA29" s="43" t="n">
        <f aca="false">MROUND(SUM(AA31:AA39),1)</f>
        <v>2205</v>
      </c>
      <c r="AB29" s="43" t="n">
        <f aca="false">MROUND(SUM(AB31:AB39),1)</f>
        <v>931</v>
      </c>
      <c r="AC29" s="43" t="n">
        <f aca="false">MROUND(SUM(AC31:AC39),1)</f>
        <v>1211</v>
      </c>
      <c r="AD29" s="43" t="n">
        <f aca="false">MROUND(SUM(AD31:AD39),1)</f>
        <v>914</v>
      </c>
      <c r="AE29" s="43" t="n">
        <f aca="false">MROUND(SUM(AE31:AE39),1)</f>
        <v>1966</v>
      </c>
      <c r="AF29" s="43" t="n">
        <f aca="false">MROUND(SUM(AF31:AF39),1)</f>
        <v>914</v>
      </c>
      <c r="AG29" s="43" t="n">
        <f aca="false">MROUND(SUM(AG31:AG39),1)</f>
        <v>1160</v>
      </c>
      <c r="AH29" s="43" t="n">
        <f aca="false">MROUND(SUM(AH31:AH39),1)</f>
        <v>983</v>
      </c>
      <c r="AI29" s="44" t="n">
        <f aca="false">SUM(T29:AH29)</f>
        <v>18619</v>
      </c>
      <c r="AJ29" s="44"/>
    </row>
    <row r="30" customFormat="false" ht="15" hidden="false" customHeight="false" outlineLevel="0" collapsed="false">
      <c r="A30" s="45" t="s">
        <v>32</v>
      </c>
      <c r="B30" s="45" t="s">
        <v>33</v>
      </c>
      <c r="C30" s="46" t="s">
        <v>34</v>
      </c>
      <c r="D30" s="47" t="s">
        <v>35</v>
      </c>
      <c r="E30" s="48" t="s">
        <v>36</v>
      </c>
      <c r="F30" s="48" t="s">
        <v>37</v>
      </c>
      <c r="G30" s="48" t="s">
        <v>38</v>
      </c>
      <c r="H30" s="48" t="s">
        <v>39</v>
      </c>
      <c r="I30" s="48" t="s">
        <v>40</v>
      </c>
      <c r="J30" s="48" t="s">
        <v>41</v>
      </c>
      <c r="K30" s="48" t="s">
        <v>42</v>
      </c>
      <c r="L30" s="48" t="s">
        <v>43</v>
      </c>
      <c r="M30" s="48" t="s">
        <v>44</v>
      </c>
      <c r="N30" s="49" t="s">
        <v>45</v>
      </c>
      <c r="O30" s="49" t="n">
        <v>11</v>
      </c>
      <c r="P30" s="49" t="n">
        <v>12</v>
      </c>
      <c r="Q30" s="49" t="n">
        <v>13</v>
      </c>
      <c r="R30" s="49" t="n">
        <v>14</v>
      </c>
      <c r="S30" s="49" t="n">
        <v>15</v>
      </c>
      <c r="T30" s="48" t="n">
        <v>10000</v>
      </c>
      <c r="U30" s="48" t="n">
        <v>20000</v>
      </c>
      <c r="V30" s="48" t="n">
        <v>30000</v>
      </c>
      <c r="W30" s="48" t="n">
        <v>40000</v>
      </c>
      <c r="X30" s="48" t="n">
        <v>50000</v>
      </c>
      <c r="Y30" s="48" t="n">
        <v>60000</v>
      </c>
      <c r="Z30" s="48" t="n">
        <v>70000</v>
      </c>
      <c r="AA30" s="48" t="n">
        <v>80000</v>
      </c>
      <c r="AB30" s="48" t="n">
        <v>90000</v>
      </c>
      <c r="AC30" s="48" t="n">
        <v>100000</v>
      </c>
      <c r="AD30" s="50" t="n">
        <f aca="false">AC30+10000</f>
        <v>110000</v>
      </c>
      <c r="AE30" s="50" t="n">
        <f aca="false">AD30+10000</f>
        <v>120000</v>
      </c>
      <c r="AF30" s="50" t="n">
        <f aca="false">AE30+10000</f>
        <v>130000</v>
      </c>
      <c r="AG30" s="50" t="n">
        <f aca="false">AF30+10000</f>
        <v>140000</v>
      </c>
      <c r="AH30" s="50" t="n">
        <f aca="false">AG30+10000</f>
        <v>150000</v>
      </c>
      <c r="AI30" s="51" t="s">
        <v>46</v>
      </c>
      <c r="AJ30" s="45" t="s">
        <v>47</v>
      </c>
    </row>
    <row r="31" customFormat="false" ht="15" hidden="false" customHeight="false" outlineLevel="0" collapsed="false">
      <c r="A31" s="52" t="n">
        <v>1</v>
      </c>
      <c r="B31" s="72" t="s">
        <v>67</v>
      </c>
      <c r="C31" s="54" t="s">
        <v>49</v>
      </c>
      <c r="D31" s="55" t="n">
        <f aca="false">VLOOKUP(C31,'[1]PREÇO ATUAL'!$A$1:$D$1048576,4,0)</f>
        <v>79.9</v>
      </c>
      <c r="E31" s="56" t="n">
        <v>1</v>
      </c>
      <c r="F31" s="56" t="n">
        <v>1</v>
      </c>
      <c r="G31" s="56" t="n">
        <v>1</v>
      </c>
      <c r="H31" s="56" t="n">
        <v>1</v>
      </c>
      <c r="I31" s="57" t="n">
        <v>1</v>
      </c>
      <c r="J31" s="57" t="n">
        <v>1</v>
      </c>
      <c r="K31" s="57" t="n">
        <v>1</v>
      </c>
      <c r="L31" s="57" t="n">
        <v>1</v>
      </c>
      <c r="M31" s="57" t="n">
        <v>1</v>
      </c>
      <c r="N31" s="57" t="n">
        <v>1</v>
      </c>
      <c r="O31" s="57" t="n">
        <v>1</v>
      </c>
      <c r="P31" s="57" t="n">
        <v>1</v>
      </c>
      <c r="Q31" s="57" t="n">
        <v>1</v>
      </c>
      <c r="R31" s="57" t="n">
        <v>1</v>
      </c>
      <c r="S31" s="57" t="n">
        <v>1</v>
      </c>
      <c r="T31" s="58" t="n">
        <f aca="false">$D31*E31</f>
        <v>79.9</v>
      </c>
      <c r="U31" s="58" t="n">
        <f aca="false">$D31*F31</f>
        <v>79.9</v>
      </c>
      <c r="V31" s="58" t="n">
        <f aca="false">$D31*G31</f>
        <v>79.9</v>
      </c>
      <c r="W31" s="58" t="n">
        <f aca="false">$D31*H31</f>
        <v>79.9</v>
      </c>
      <c r="X31" s="58" t="n">
        <f aca="false">$D31*I31</f>
        <v>79.9</v>
      </c>
      <c r="Y31" s="58" t="n">
        <f aca="false">$D31*J31</f>
        <v>79.9</v>
      </c>
      <c r="Z31" s="58" t="n">
        <f aca="false">$D31*K31</f>
        <v>79.9</v>
      </c>
      <c r="AA31" s="58" t="n">
        <f aca="false">$D31*L31</f>
        <v>79.9</v>
      </c>
      <c r="AB31" s="58" t="n">
        <f aca="false">$D31*M31</f>
        <v>79.9</v>
      </c>
      <c r="AC31" s="58" t="n">
        <f aca="false">$D31*N31</f>
        <v>79.9</v>
      </c>
      <c r="AD31" s="58" t="n">
        <f aca="false">$D31*O31</f>
        <v>79.9</v>
      </c>
      <c r="AE31" s="58" t="n">
        <f aca="false">$D31*P31</f>
        <v>79.9</v>
      </c>
      <c r="AF31" s="58" t="n">
        <f aca="false">$D31*Q31</f>
        <v>79.9</v>
      </c>
      <c r="AG31" s="58" t="n">
        <f aca="false">$D31*R31</f>
        <v>79.9</v>
      </c>
      <c r="AH31" s="58" t="n">
        <f aca="false">$D31*S31</f>
        <v>79.9</v>
      </c>
      <c r="AI31" s="59" t="n">
        <f aca="false">AJ31/$AI$2</f>
        <v>0.0791193556905202</v>
      </c>
      <c r="AJ31" s="58" t="n">
        <f aca="false">SUM(T31:AH31)</f>
        <v>1198.5</v>
      </c>
    </row>
    <row r="32" customFormat="false" ht="15" hidden="false" customHeight="false" outlineLevel="0" collapsed="false">
      <c r="A32" s="60" t="n">
        <v>2</v>
      </c>
      <c r="B32" s="73" t="s">
        <v>50</v>
      </c>
      <c r="C32" s="62" t="s">
        <v>51</v>
      </c>
      <c r="D32" s="63" t="n">
        <f aca="false">VLOOKUP(C32,'[1]PREÇO ATUAL'!$A$1:$D$1048576,4,0)</f>
        <v>35.9</v>
      </c>
      <c r="E32" s="64"/>
      <c r="F32" s="64" t="n">
        <v>1</v>
      </c>
      <c r="G32" s="64"/>
      <c r="H32" s="64" t="n">
        <v>1</v>
      </c>
      <c r="I32" s="65"/>
      <c r="J32" s="64" t="n">
        <v>1</v>
      </c>
      <c r="K32" s="65"/>
      <c r="L32" s="64" t="n">
        <v>1</v>
      </c>
      <c r="M32" s="65"/>
      <c r="N32" s="64" t="n">
        <v>1</v>
      </c>
      <c r="O32" s="65"/>
      <c r="P32" s="64" t="n">
        <v>1</v>
      </c>
      <c r="Q32" s="65"/>
      <c r="R32" s="64" t="n">
        <v>1</v>
      </c>
      <c r="S32" s="65"/>
      <c r="T32" s="66" t="n">
        <f aca="false">$D32*E32</f>
        <v>0</v>
      </c>
      <c r="U32" s="66" t="n">
        <f aca="false">$D32*F32</f>
        <v>35.9</v>
      </c>
      <c r="V32" s="66" t="n">
        <f aca="false">$D32*G32</f>
        <v>0</v>
      </c>
      <c r="W32" s="66" t="n">
        <f aca="false">$D32*H32</f>
        <v>35.9</v>
      </c>
      <c r="X32" s="66" t="n">
        <f aca="false">$D32*I32</f>
        <v>0</v>
      </c>
      <c r="Y32" s="66" t="n">
        <f aca="false">$D32*J32</f>
        <v>35.9</v>
      </c>
      <c r="Z32" s="66" t="n">
        <f aca="false">$D32*K32</f>
        <v>0</v>
      </c>
      <c r="AA32" s="66" t="n">
        <f aca="false">$D32*L32</f>
        <v>35.9</v>
      </c>
      <c r="AB32" s="66" t="n">
        <f aca="false">$D32*M32</f>
        <v>0</v>
      </c>
      <c r="AC32" s="66" t="n">
        <f aca="false">$D32*N32</f>
        <v>35.9</v>
      </c>
      <c r="AD32" s="66" t="n">
        <f aca="false">$D32*O32</f>
        <v>0</v>
      </c>
      <c r="AE32" s="66" t="n">
        <f aca="false">$D32*P32</f>
        <v>35.9</v>
      </c>
      <c r="AF32" s="66" t="n">
        <f aca="false">$D32*Q32</f>
        <v>0</v>
      </c>
      <c r="AG32" s="66" t="n">
        <f aca="false">$D32*R32</f>
        <v>35.9</v>
      </c>
      <c r="AH32" s="66" t="n">
        <f aca="false">$D32*S32</f>
        <v>0</v>
      </c>
      <c r="AI32" s="67" t="n">
        <f aca="false">AJ32/$AI$2</f>
        <v>0.0165896487985213</v>
      </c>
      <c r="AJ32" s="66" t="n">
        <f aca="false">SUM(T32:AH32)</f>
        <v>251.3</v>
      </c>
    </row>
    <row r="33" customFormat="false" ht="15" hidden="false" customHeight="false" outlineLevel="0" collapsed="false">
      <c r="A33" s="52" t="n">
        <v>3</v>
      </c>
      <c r="B33" s="72" t="s">
        <v>68</v>
      </c>
      <c r="C33" s="54" t="s">
        <v>53</v>
      </c>
      <c r="D33" s="55" t="n">
        <f aca="false">VLOOKUP(C33,'[1]PREÇO ATUAL'!$A$1:$D$1048576,4,0)</f>
        <v>89.9</v>
      </c>
      <c r="E33" s="56"/>
      <c r="F33" s="56" t="n">
        <v>1</v>
      </c>
      <c r="G33" s="56"/>
      <c r="H33" s="56" t="n">
        <v>1</v>
      </c>
      <c r="I33" s="57"/>
      <c r="J33" s="56" t="n">
        <v>1</v>
      </c>
      <c r="K33" s="57"/>
      <c r="L33" s="56" t="n">
        <v>1</v>
      </c>
      <c r="M33" s="57"/>
      <c r="N33" s="56" t="n">
        <v>1</v>
      </c>
      <c r="O33" s="57"/>
      <c r="P33" s="56" t="n">
        <v>1</v>
      </c>
      <c r="Q33" s="57"/>
      <c r="R33" s="56" t="n">
        <v>1</v>
      </c>
      <c r="S33" s="57"/>
      <c r="T33" s="58" t="n">
        <f aca="false">$D33*E33</f>
        <v>0</v>
      </c>
      <c r="U33" s="58" t="n">
        <f aca="false">$D33*F33</f>
        <v>89.9</v>
      </c>
      <c r="V33" s="58" t="n">
        <f aca="false">$D33*G33</f>
        <v>0</v>
      </c>
      <c r="W33" s="58" t="n">
        <f aca="false">$D33*H33</f>
        <v>89.9</v>
      </c>
      <c r="X33" s="58" t="n">
        <f aca="false">$D33*I33</f>
        <v>0</v>
      </c>
      <c r="Y33" s="58" t="n">
        <f aca="false">$D33*J33</f>
        <v>89.9</v>
      </c>
      <c r="Z33" s="58" t="n">
        <f aca="false">$D33*K33</f>
        <v>0</v>
      </c>
      <c r="AA33" s="58" t="n">
        <f aca="false">$D33*L33</f>
        <v>89.9</v>
      </c>
      <c r="AB33" s="58" t="n">
        <f aca="false">$D33*M33</f>
        <v>0</v>
      </c>
      <c r="AC33" s="58" t="n">
        <f aca="false">$D33*N33</f>
        <v>89.9</v>
      </c>
      <c r="AD33" s="58" t="n">
        <f aca="false">$D33*O33</f>
        <v>0</v>
      </c>
      <c r="AE33" s="58" t="n">
        <f aca="false">$D33*P33</f>
        <v>89.9</v>
      </c>
      <c r="AF33" s="58" t="n">
        <f aca="false">$D33*Q33</f>
        <v>0</v>
      </c>
      <c r="AG33" s="58" t="n">
        <f aca="false">$D33*R33</f>
        <v>89.9</v>
      </c>
      <c r="AH33" s="58" t="n">
        <f aca="false">$D33*S33</f>
        <v>0</v>
      </c>
      <c r="AI33" s="59" t="n">
        <f aca="false">AJ33/$AI$2</f>
        <v>0.041543438077634</v>
      </c>
      <c r="AJ33" s="58" t="n">
        <f aca="false">SUM(T33:AH33)</f>
        <v>629.3</v>
      </c>
    </row>
    <row r="34" customFormat="false" ht="15" hidden="false" customHeight="false" outlineLevel="0" collapsed="false">
      <c r="A34" s="60" t="n">
        <v>4</v>
      </c>
      <c r="B34" s="73" t="s">
        <v>69</v>
      </c>
      <c r="C34" s="62" t="s">
        <v>70</v>
      </c>
      <c r="D34" s="63" t="n">
        <f aca="false">VLOOKUP(C34,'[1]PREÇO ATUAL'!$A$1:$D$1048576,4,0)</f>
        <v>199.05</v>
      </c>
      <c r="E34" s="64" t="n">
        <v>1</v>
      </c>
      <c r="F34" s="64" t="n">
        <v>1</v>
      </c>
      <c r="G34" s="64" t="n">
        <v>1</v>
      </c>
      <c r="H34" s="64" t="n">
        <v>1</v>
      </c>
      <c r="I34" s="65" t="n">
        <v>1</v>
      </c>
      <c r="J34" s="65" t="n">
        <v>1</v>
      </c>
      <c r="K34" s="65" t="n">
        <v>1</v>
      </c>
      <c r="L34" s="65" t="n">
        <v>1</v>
      </c>
      <c r="M34" s="65" t="n">
        <v>1</v>
      </c>
      <c r="N34" s="65" t="n">
        <v>1</v>
      </c>
      <c r="O34" s="65" t="n">
        <v>1</v>
      </c>
      <c r="P34" s="65" t="n">
        <v>1</v>
      </c>
      <c r="Q34" s="65" t="n">
        <v>1</v>
      </c>
      <c r="R34" s="65" t="n">
        <v>1</v>
      </c>
      <c r="S34" s="65" t="n">
        <v>1</v>
      </c>
      <c r="T34" s="66" t="n">
        <f aca="false">$D34*E34</f>
        <v>199.05</v>
      </c>
      <c r="U34" s="66" t="n">
        <f aca="false">$D34*F34</f>
        <v>199.05</v>
      </c>
      <c r="V34" s="66" t="n">
        <f aca="false">$D34*G34</f>
        <v>199.05</v>
      </c>
      <c r="W34" s="66" t="n">
        <f aca="false">$D34*H34</f>
        <v>199.05</v>
      </c>
      <c r="X34" s="66" t="n">
        <f aca="false">$D34*I34</f>
        <v>199.05</v>
      </c>
      <c r="Y34" s="66" t="n">
        <f aca="false">$D34*J34</f>
        <v>199.05</v>
      </c>
      <c r="Z34" s="66" t="n">
        <f aca="false">$D34*K34</f>
        <v>199.05</v>
      </c>
      <c r="AA34" s="66" t="n">
        <f aca="false">$D34*L34</f>
        <v>199.05</v>
      </c>
      <c r="AB34" s="66" t="n">
        <f aca="false">$D34*M34</f>
        <v>199.05</v>
      </c>
      <c r="AC34" s="66" t="n">
        <f aca="false">$D34*N34</f>
        <v>199.05</v>
      </c>
      <c r="AD34" s="66" t="n">
        <f aca="false">$D34*O34</f>
        <v>199.05</v>
      </c>
      <c r="AE34" s="66" t="n">
        <f aca="false">$D34*P34</f>
        <v>199.05</v>
      </c>
      <c r="AF34" s="66" t="n">
        <f aca="false">$D34*Q34</f>
        <v>199.05</v>
      </c>
      <c r="AG34" s="66" t="n">
        <f aca="false">$D34*R34</f>
        <v>199.05</v>
      </c>
      <c r="AH34" s="66" t="n">
        <f aca="false">$D34*S34</f>
        <v>199.05</v>
      </c>
      <c r="AI34" s="67" t="n">
        <f aca="false">AJ34/$AI$2</f>
        <v>0.197105228412992</v>
      </c>
      <c r="AJ34" s="66" t="n">
        <f aca="false">SUM(T34:AH34)</f>
        <v>2985.75</v>
      </c>
    </row>
    <row r="35" customFormat="false" ht="25.5" hidden="false" customHeight="false" outlineLevel="0" collapsed="false">
      <c r="A35" s="52" t="n">
        <v>5</v>
      </c>
      <c r="B35" s="72" t="s">
        <v>71</v>
      </c>
      <c r="C35" s="54" t="s">
        <v>55</v>
      </c>
      <c r="D35" s="55" t="n">
        <f aca="false">VLOOKUP(C35,'[1]PREÇO ATUAL'!$A$1:$D$1048576,4,0)</f>
        <v>175.9</v>
      </c>
      <c r="E35" s="56"/>
      <c r="F35" s="56"/>
      <c r="G35" s="56"/>
      <c r="H35" s="56" t="n">
        <v>4</v>
      </c>
      <c r="I35" s="57"/>
      <c r="J35" s="57"/>
      <c r="K35" s="57"/>
      <c r="L35" s="56" t="n">
        <v>4</v>
      </c>
      <c r="M35" s="57"/>
      <c r="N35" s="57"/>
      <c r="O35" s="57"/>
      <c r="P35" s="56" t="n">
        <v>4</v>
      </c>
      <c r="Q35" s="57"/>
      <c r="R35" s="57"/>
      <c r="S35" s="57"/>
      <c r="T35" s="58" t="n">
        <f aca="false">$D35*E35</f>
        <v>0</v>
      </c>
      <c r="U35" s="58" t="n">
        <f aca="false">$D35*F35</f>
        <v>0</v>
      </c>
      <c r="V35" s="58" t="n">
        <f aca="false">$D35*G35</f>
        <v>0</v>
      </c>
      <c r="W35" s="58" t="n">
        <f aca="false">$D35*H35</f>
        <v>703.6</v>
      </c>
      <c r="X35" s="58" t="n">
        <f aca="false">$D35*I35</f>
        <v>0</v>
      </c>
      <c r="Y35" s="58" t="n">
        <f aca="false">$D35*J35</f>
        <v>0</v>
      </c>
      <c r="Z35" s="58" t="n">
        <f aca="false">$D35*K35</f>
        <v>0</v>
      </c>
      <c r="AA35" s="58" t="n">
        <f aca="false">$D35*L35</f>
        <v>703.6</v>
      </c>
      <c r="AB35" s="58" t="n">
        <f aca="false">$D35*M35</f>
        <v>0</v>
      </c>
      <c r="AC35" s="58" t="n">
        <f aca="false">$D35*N35</f>
        <v>0</v>
      </c>
      <c r="AD35" s="58" t="n">
        <f aca="false">$D35*O35</f>
        <v>0</v>
      </c>
      <c r="AE35" s="58" t="n">
        <f aca="false">$D35*P35</f>
        <v>703.6</v>
      </c>
      <c r="AF35" s="58" t="n">
        <f aca="false">$D35*Q35</f>
        <v>0</v>
      </c>
      <c r="AG35" s="58" t="n">
        <f aca="false">$D35*R35</f>
        <v>0</v>
      </c>
      <c r="AH35" s="58" t="n">
        <f aca="false">$D35*S35</f>
        <v>0</v>
      </c>
      <c r="AI35" s="59" t="n">
        <f aca="false">AJ35/$AI$2</f>
        <v>0.139345128069712</v>
      </c>
      <c r="AJ35" s="58" t="n">
        <f aca="false">SUM(T35:AH35)</f>
        <v>2110.8</v>
      </c>
    </row>
    <row r="36" customFormat="false" ht="25.5" hidden="false" customHeight="false" outlineLevel="0" collapsed="false">
      <c r="A36" s="60" t="n">
        <v>6</v>
      </c>
      <c r="B36" s="73" t="s">
        <v>72</v>
      </c>
      <c r="C36" s="62" t="s">
        <v>57</v>
      </c>
      <c r="D36" s="63" t="n">
        <f aca="false">VLOOKUP(C36,'[1]PREÇO ATUAL'!$A$1:$D$1048576,4,0)</f>
        <v>143.23</v>
      </c>
      <c r="E36" s="64"/>
      <c r="F36" s="64"/>
      <c r="G36" s="64"/>
      <c r="H36" s="64"/>
      <c r="I36" s="65"/>
      <c r="J36" s="65"/>
      <c r="K36" s="65"/>
      <c r="L36" s="65"/>
      <c r="M36" s="65"/>
      <c r="N36" s="65"/>
      <c r="O36" s="65"/>
      <c r="P36" s="68"/>
      <c r="Q36" s="65"/>
      <c r="R36" s="65"/>
      <c r="S36" s="65"/>
      <c r="T36" s="66" t="n">
        <f aca="false">$D36*E36</f>
        <v>0</v>
      </c>
      <c r="U36" s="66" t="n">
        <f aca="false">$D36*F36</f>
        <v>0</v>
      </c>
      <c r="V36" s="66" t="n">
        <f aca="false">$D36*G36</f>
        <v>0</v>
      </c>
      <c r="W36" s="66" t="n">
        <f aca="false">$D36*H36</f>
        <v>0</v>
      </c>
      <c r="X36" s="66" t="n">
        <f aca="false">$D36*I36</f>
        <v>0</v>
      </c>
      <c r="Y36" s="66" t="n">
        <f aca="false">$D36*J36</f>
        <v>0</v>
      </c>
      <c r="Z36" s="66" t="n">
        <f aca="false">$D36*K36</f>
        <v>0</v>
      </c>
      <c r="AA36" s="66" t="n">
        <f aca="false">$D36*L36</f>
        <v>0</v>
      </c>
      <c r="AB36" s="66" t="n">
        <f aca="false">$D36*M36</f>
        <v>0</v>
      </c>
      <c r="AC36" s="66" t="n">
        <f aca="false">$D36*N36</f>
        <v>0</v>
      </c>
      <c r="AD36" s="66" t="n">
        <f aca="false">$D36*O36</f>
        <v>0</v>
      </c>
      <c r="AE36" s="66" t="n">
        <f aca="false">$D36*P36</f>
        <v>0</v>
      </c>
      <c r="AF36" s="66" t="n">
        <f aca="false">$D36*Q36</f>
        <v>0</v>
      </c>
      <c r="AG36" s="66" t="n">
        <f aca="false">$D36*R36</f>
        <v>0</v>
      </c>
      <c r="AH36" s="66" t="n">
        <f aca="false">$D36*S36</f>
        <v>0</v>
      </c>
      <c r="AI36" s="67" t="n">
        <f aca="false">AJ36/$AI$2</f>
        <v>0</v>
      </c>
      <c r="AJ36" s="66" t="n">
        <f aca="false">SUM(T36:AH36)</f>
        <v>0</v>
      </c>
    </row>
    <row r="37" customFormat="false" ht="25.5" hidden="false" customHeight="false" outlineLevel="0" collapsed="false">
      <c r="A37" s="52" t="n">
        <v>7</v>
      </c>
      <c r="B37" s="72" t="s">
        <v>74</v>
      </c>
      <c r="C37" s="54" t="s">
        <v>61</v>
      </c>
      <c r="D37" s="55" t="n">
        <f aca="false">VLOOKUP(C37,'[1]PREÇO ATUAL'!$A$1:$D$1048576,4,0)</f>
        <v>33.6224930838505</v>
      </c>
      <c r="E37" s="56"/>
      <c r="F37" s="56"/>
      <c r="G37" s="56"/>
      <c r="H37" s="56"/>
      <c r="I37" s="57"/>
      <c r="J37" s="57"/>
      <c r="K37" s="57"/>
      <c r="L37" s="56"/>
      <c r="M37" s="57"/>
      <c r="N37" s="57"/>
      <c r="O37" s="57"/>
      <c r="P37" s="56"/>
      <c r="Q37" s="57"/>
      <c r="R37" s="57"/>
      <c r="S37" s="57"/>
      <c r="T37" s="58" t="n">
        <f aca="false">$D37*E37</f>
        <v>0</v>
      </c>
      <c r="U37" s="58" t="n">
        <f aca="false">$D37*F37</f>
        <v>0</v>
      </c>
      <c r="V37" s="58" t="n">
        <f aca="false">$D37*G37</f>
        <v>0</v>
      </c>
      <c r="W37" s="58" t="n">
        <f aca="false">$D37*H37</f>
        <v>0</v>
      </c>
      <c r="X37" s="58" t="n">
        <f aca="false">$D37*I37</f>
        <v>0</v>
      </c>
      <c r="Y37" s="58" t="n">
        <f aca="false">$D37*J37</f>
        <v>0</v>
      </c>
      <c r="Z37" s="58" t="n">
        <f aca="false">$D37*K37</f>
        <v>0</v>
      </c>
      <c r="AA37" s="58" t="n">
        <f aca="false">$D37*L37</f>
        <v>0</v>
      </c>
      <c r="AB37" s="58" t="n">
        <f aca="false">$D37*M37</f>
        <v>0</v>
      </c>
      <c r="AC37" s="58" t="n">
        <f aca="false">$D37*N37</f>
        <v>0</v>
      </c>
      <c r="AD37" s="58" t="n">
        <f aca="false">$D37*O37</f>
        <v>0</v>
      </c>
      <c r="AE37" s="58" t="n">
        <f aca="false">$D37*P37</f>
        <v>0</v>
      </c>
      <c r="AF37" s="58" t="n">
        <f aca="false">$D37*Q37</f>
        <v>0</v>
      </c>
      <c r="AG37" s="58" t="n">
        <f aca="false">$D37*R37</f>
        <v>0</v>
      </c>
      <c r="AH37" s="58" t="n">
        <f aca="false">$D37*S37</f>
        <v>0</v>
      </c>
      <c r="AI37" s="59" t="n">
        <f aca="false">AJ37/$AI$2</f>
        <v>0</v>
      </c>
      <c r="AJ37" s="58" t="n">
        <f aca="false">SUM(T37:AH37)</f>
        <v>0</v>
      </c>
    </row>
    <row r="38" customFormat="false" ht="25.5" hidden="false" customHeight="false" outlineLevel="0" collapsed="false">
      <c r="A38" s="60" t="n">
        <v>8</v>
      </c>
      <c r="B38" s="73" t="s">
        <v>75</v>
      </c>
      <c r="C38" s="62" t="s">
        <v>63</v>
      </c>
      <c r="D38" s="63" t="n">
        <f aca="false">VLOOKUP(C38,'[1]PREÇO ATUAL'!$A$1:$D$1048576,4,0)</f>
        <v>81.26</v>
      </c>
      <c r="E38" s="82" t="n">
        <v>3.4</v>
      </c>
      <c r="F38" s="82" t="n">
        <v>3.4</v>
      </c>
      <c r="G38" s="82" t="n">
        <v>3.4</v>
      </c>
      <c r="H38" s="82" t="n">
        <v>3.4</v>
      </c>
      <c r="I38" s="83" t="n">
        <v>3.4</v>
      </c>
      <c r="J38" s="83" t="n">
        <v>3.4</v>
      </c>
      <c r="K38" s="83" t="n">
        <v>3.4</v>
      </c>
      <c r="L38" s="83" t="n">
        <v>3.4</v>
      </c>
      <c r="M38" s="83" t="n">
        <v>3.4</v>
      </c>
      <c r="N38" s="83" t="n">
        <v>3.4</v>
      </c>
      <c r="O38" s="83" t="n">
        <v>3.4</v>
      </c>
      <c r="P38" s="83" t="n">
        <v>3.4</v>
      </c>
      <c r="Q38" s="83" t="n">
        <v>3.4</v>
      </c>
      <c r="R38" s="83" t="n">
        <v>3.4</v>
      </c>
      <c r="S38" s="83" t="n">
        <v>3.4</v>
      </c>
      <c r="T38" s="66" t="n">
        <f aca="false">$D38*E38</f>
        <v>276.284</v>
      </c>
      <c r="U38" s="66" t="n">
        <f aca="false">$D38*F38</f>
        <v>276.284</v>
      </c>
      <c r="V38" s="66" t="n">
        <f aca="false">$D38*G38</f>
        <v>276.284</v>
      </c>
      <c r="W38" s="66" t="n">
        <f aca="false">$D38*H38</f>
        <v>276.284</v>
      </c>
      <c r="X38" s="66" t="n">
        <f aca="false">$D38*I38</f>
        <v>276.284</v>
      </c>
      <c r="Y38" s="66" t="n">
        <f aca="false">$D38*J38</f>
        <v>276.284</v>
      </c>
      <c r="Z38" s="66" t="n">
        <f aca="false">$D38*K38</f>
        <v>276.284</v>
      </c>
      <c r="AA38" s="66" t="n">
        <f aca="false">$D38*L38</f>
        <v>276.284</v>
      </c>
      <c r="AB38" s="66" t="n">
        <f aca="false">$D38*M38</f>
        <v>276.284</v>
      </c>
      <c r="AC38" s="66" t="n">
        <f aca="false">$D38*N38</f>
        <v>276.284</v>
      </c>
      <c r="AD38" s="66" t="n">
        <f aca="false">$D38*O38</f>
        <v>276.284</v>
      </c>
      <c r="AE38" s="66" t="n">
        <f aca="false">$D38*P38</f>
        <v>276.284</v>
      </c>
      <c r="AF38" s="66" t="n">
        <f aca="false">$D38*Q38</f>
        <v>276.284</v>
      </c>
      <c r="AG38" s="66" t="n">
        <f aca="false">$D38*R38</f>
        <v>276.284</v>
      </c>
      <c r="AH38" s="66" t="n">
        <f aca="false">$D38*S38</f>
        <v>276.284</v>
      </c>
      <c r="AI38" s="67" t="n">
        <f aca="false">AJ38/$AI$2</f>
        <v>0.273584631634539</v>
      </c>
      <c r="AJ38" s="66" t="n">
        <f aca="false">SUM(T38:AH38)</f>
        <v>4144.26</v>
      </c>
    </row>
    <row r="39" customFormat="false" ht="15" hidden="false" customHeight="false" outlineLevel="0" collapsed="false">
      <c r="A39" s="52" t="n">
        <v>9</v>
      </c>
      <c r="B39" s="72" t="s">
        <v>64</v>
      </c>
      <c r="C39" s="54" t="s">
        <v>65</v>
      </c>
      <c r="D39" s="55" t="n">
        <f aca="false">VLOOKUP(C39,'[1]PREÇO ATUAL'!$A$1:$D$1048576,4,0)</f>
        <v>342</v>
      </c>
      <c r="E39" s="84" t="n">
        <v>1.05</v>
      </c>
      <c r="F39" s="84" t="n">
        <v>1.4</v>
      </c>
      <c r="G39" s="84" t="n">
        <v>1.1</v>
      </c>
      <c r="H39" s="84" t="n">
        <v>2.4</v>
      </c>
      <c r="I39" s="85" t="n">
        <v>1.2</v>
      </c>
      <c r="J39" s="85" t="n">
        <v>1.65</v>
      </c>
      <c r="K39" s="85" t="n">
        <v>1.05</v>
      </c>
      <c r="L39" s="84" t="n">
        <v>2.4</v>
      </c>
      <c r="M39" s="85" t="n">
        <v>1.1</v>
      </c>
      <c r="N39" s="85" t="n">
        <v>1.55</v>
      </c>
      <c r="O39" s="85" t="n">
        <v>1.05</v>
      </c>
      <c r="P39" s="84" t="n">
        <v>1.7</v>
      </c>
      <c r="Q39" s="85" t="n">
        <v>1.05</v>
      </c>
      <c r="R39" s="85" t="n">
        <v>1.4</v>
      </c>
      <c r="S39" s="85" t="n">
        <v>1.25</v>
      </c>
      <c r="T39" s="58" t="n">
        <f aca="false">$D39*E39</f>
        <v>359.1</v>
      </c>
      <c r="U39" s="58" t="n">
        <f aca="false">$D39*F39</f>
        <v>478.8</v>
      </c>
      <c r="V39" s="58" t="n">
        <f aca="false">$D39*G39</f>
        <v>376.2</v>
      </c>
      <c r="W39" s="58" t="n">
        <f aca="false">$D39*H39</f>
        <v>820.8</v>
      </c>
      <c r="X39" s="58" t="n">
        <f aca="false">$D39*I39</f>
        <v>410.4</v>
      </c>
      <c r="Y39" s="58" t="n">
        <f aca="false">$D39*J39</f>
        <v>564.3</v>
      </c>
      <c r="Z39" s="58" t="n">
        <f aca="false">$D39*K39</f>
        <v>359.1</v>
      </c>
      <c r="AA39" s="58" t="n">
        <f aca="false">$D39*L39</f>
        <v>820.8</v>
      </c>
      <c r="AB39" s="58" t="n">
        <f aca="false">$D39*M39</f>
        <v>376.2</v>
      </c>
      <c r="AC39" s="58" t="n">
        <f aca="false">$D39*N39</f>
        <v>530.1</v>
      </c>
      <c r="AD39" s="58" t="n">
        <f aca="false">$D39*O39</f>
        <v>359.1</v>
      </c>
      <c r="AE39" s="58" t="n">
        <f aca="false">$D39*P39</f>
        <v>581.4</v>
      </c>
      <c r="AF39" s="58" t="n">
        <f aca="false">$D39*Q39</f>
        <v>359.1</v>
      </c>
      <c r="AG39" s="58" t="n">
        <f aca="false">$D39*R39</f>
        <v>478.8</v>
      </c>
      <c r="AH39" s="58" t="n">
        <f aca="false">$D39*S39</f>
        <v>427.5</v>
      </c>
      <c r="AI39" s="59" t="n">
        <f aca="false">AJ39/$AI$2</f>
        <v>0.482024029574861</v>
      </c>
      <c r="AJ39" s="58" t="n">
        <f aca="false">SUM(T39:AH39)</f>
        <v>7301.7</v>
      </c>
    </row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</sheetData>
  <mergeCells count="15">
    <mergeCell ref="A1:D2"/>
    <mergeCell ref="E1:N2"/>
    <mergeCell ref="T1:AH1"/>
    <mergeCell ref="AI1:AJ1"/>
    <mergeCell ref="AI2:AJ2"/>
    <mergeCell ref="A14:D14"/>
    <mergeCell ref="E14:S14"/>
    <mergeCell ref="T14:AH14"/>
    <mergeCell ref="AI14:AJ14"/>
    <mergeCell ref="AI15:AJ15"/>
    <mergeCell ref="A28:D28"/>
    <mergeCell ref="E28:S28"/>
    <mergeCell ref="T28:AH28"/>
    <mergeCell ref="AI28:AJ28"/>
    <mergeCell ref="AI29:AJ2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J9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W20" activeCellId="0" sqref="W20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46.29"/>
    <col collapsed="false" customWidth="true" hidden="false" outlineLevel="0" max="3" min="3" style="33" width="16.87"/>
    <col collapsed="false" customWidth="true" hidden="false" outlineLevel="0" max="4" min="4" style="0" width="8.71"/>
    <col collapsed="false" customWidth="true" hidden="false" outlineLevel="0" max="19" min="5" style="0" width="5.14"/>
    <col collapsed="false" customWidth="true" hidden="false" outlineLevel="0" max="22" min="20" style="0" width="15"/>
    <col collapsed="false" customWidth="true" hidden="false" outlineLevel="0" max="23" min="23" style="0" width="17.13"/>
    <col collapsed="false" customWidth="true" hidden="false" outlineLevel="0" max="24" min="24" style="0" width="15"/>
    <col collapsed="false" customWidth="true" hidden="false" outlineLevel="0" max="25" min="25" style="0" width="17.13"/>
    <col collapsed="false" customWidth="true" hidden="false" outlineLevel="0" max="26" min="26" style="0" width="13.7"/>
    <col collapsed="false" customWidth="true" hidden="false" outlineLevel="0" max="27" min="27" style="0" width="15.71"/>
    <col collapsed="false" customWidth="true" hidden="false" outlineLevel="0" max="30" min="28" style="0" width="13.7"/>
    <col collapsed="false" customWidth="true" hidden="false" outlineLevel="0" max="31" min="31" style="0" width="15.71"/>
    <col collapsed="false" customWidth="true" hidden="false" outlineLevel="0" max="34" min="32" style="0" width="13.7"/>
    <col collapsed="false" customWidth="true" hidden="false" outlineLevel="0" max="35" min="35" style="0" width="8.41"/>
    <col collapsed="false" customWidth="true" hidden="false" outlineLevel="0" max="36" min="36" style="0" width="15.57"/>
  </cols>
  <sheetData>
    <row r="1" customFormat="false" ht="15" hidden="false" customHeight="false" outlineLevel="0" collapsed="false">
      <c r="A1" s="74" t="s">
        <v>81</v>
      </c>
      <c r="B1" s="74"/>
      <c r="C1" s="74"/>
      <c r="D1" s="74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77" t="s">
        <v>30</v>
      </c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37" t="s">
        <v>31</v>
      </c>
      <c r="AJ1" s="37"/>
    </row>
    <row r="2" customFormat="false" ht="15" hidden="false" customHeight="false" outlineLevel="0" collapsed="false">
      <c r="A2" s="74"/>
      <c r="B2" s="74"/>
      <c r="C2" s="74"/>
      <c r="D2" s="74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43" t="n">
        <f aca="false">MROUND(SUM(T4:T12),1)</f>
        <v>688</v>
      </c>
      <c r="U2" s="43" t="n">
        <f aca="false">MROUND(SUM(U4:U12),1)</f>
        <v>928</v>
      </c>
      <c r="V2" s="43" t="n">
        <f aca="false">MROUND(SUM(V4:V12),1)</f>
        <v>705</v>
      </c>
      <c r="W2" s="43" t="n">
        <f aca="false">MROUND(SUM(W4:W12),1)</f>
        <v>1082</v>
      </c>
      <c r="X2" s="43" t="n">
        <f aca="false">MROUND(SUM(X4:X12),1)</f>
        <v>739</v>
      </c>
      <c r="Y2" s="43" t="n">
        <f aca="false">MROUND(SUM(Y4:Y12),1)</f>
        <v>2016</v>
      </c>
      <c r="Z2" s="43" t="n">
        <f aca="false">MROUND(SUM(Z4:Z12),1)</f>
        <v>705</v>
      </c>
      <c r="AA2" s="43" t="n">
        <f aca="false">MROUND(SUM(AA4:AA12),1)</f>
        <v>1082</v>
      </c>
      <c r="AB2" s="43" t="n">
        <f aca="false">MROUND(SUM(AB4:AB12),1)</f>
        <v>705</v>
      </c>
      <c r="AC2" s="43" t="n">
        <f aca="false">MROUND(SUM(AC4:AC12),1)</f>
        <v>980</v>
      </c>
      <c r="AD2" s="43" t="n">
        <f aca="false">MROUND(SUM(AD4:AD12),1)</f>
        <v>688</v>
      </c>
      <c r="AE2" s="43" t="n">
        <f aca="false">MROUND(SUM(AE4:AE12),1)</f>
        <v>2536</v>
      </c>
      <c r="AF2" s="43" t="n">
        <f aca="false">MROUND(SUM(AF4:AF12),1)</f>
        <v>688</v>
      </c>
      <c r="AG2" s="43" t="n">
        <f aca="false">MROUND(SUM(AG4:AG12),1)</f>
        <v>946</v>
      </c>
      <c r="AH2" s="43" t="n">
        <f aca="false">MROUND(SUM(AH4:AH12),1)</f>
        <v>756</v>
      </c>
      <c r="AI2" s="44" t="n">
        <f aca="false">SUM(T2:AH2)</f>
        <v>15244</v>
      </c>
      <c r="AJ2" s="44"/>
    </row>
    <row r="3" customFormat="false" ht="15" hidden="false" customHeight="false" outlineLevel="0" collapsed="false">
      <c r="A3" s="45" t="s">
        <v>32</v>
      </c>
      <c r="B3" s="45" t="s">
        <v>33</v>
      </c>
      <c r="C3" s="46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77</v>
      </c>
      <c r="M3" s="48" t="s">
        <v>78</v>
      </c>
      <c r="N3" s="48" t="s">
        <v>45</v>
      </c>
      <c r="O3" s="87" t="n">
        <v>11</v>
      </c>
      <c r="P3" s="49" t="n">
        <v>12</v>
      </c>
      <c r="Q3" s="49" t="n">
        <v>13</v>
      </c>
      <c r="R3" s="49" t="n">
        <v>14</v>
      </c>
      <c r="S3" s="49" t="n">
        <v>15</v>
      </c>
      <c r="T3" s="48" t="n">
        <v>10000</v>
      </c>
      <c r="U3" s="48" t="n">
        <v>20000</v>
      </c>
      <c r="V3" s="48" t="n">
        <v>30000</v>
      </c>
      <c r="W3" s="48" t="n">
        <v>40000</v>
      </c>
      <c r="X3" s="48" t="n">
        <v>50000</v>
      </c>
      <c r="Y3" s="48" t="n">
        <v>60000</v>
      </c>
      <c r="Z3" s="48" t="n">
        <v>70000</v>
      </c>
      <c r="AA3" s="48" t="n">
        <v>80000</v>
      </c>
      <c r="AB3" s="48" t="n">
        <v>90000</v>
      </c>
      <c r="AC3" s="48" t="n">
        <v>100000</v>
      </c>
      <c r="AD3" s="50" t="n">
        <f aca="false">AC3+10000</f>
        <v>110000</v>
      </c>
      <c r="AE3" s="50" t="n">
        <f aca="false">AD3+10000</f>
        <v>120000</v>
      </c>
      <c r="AF3" s="50" t="n">
        <f aca="false">AE3+10000</f>
        <v>130000</v>
      </c>
      <c r="AG3" s="50" t="n">
        <f aca="false">AF3+10000</f>
        <v>140000</v>
      </c>
      <c r="AH3" s="50" t="n">
        <f aca="false">AG3+10000</f>
        <v>150000</v>
      </c>
      <c r="AI3" s="51" t="s">
        <v>46</v>
      </c>
      <c r="AJ3" s="45" t="s">
        <v>47</v>
      </c>
    </row>
    <row r="4" customFormat="false" ht="15" hidden="false" customHeight="false" outlineLevel="0" collapsed="false">
      <c r="A4" s="52" t="n">
        <v>1</v>
      </c>
      <c r="B4" s="53" t="s">
        <v>48</v>
      </c>
      <c r="C4" s="54" t="s">
        <v>82</v>
      </c>
      <c r="D4" s="55" t="n">
        <f aca="false">VLOOKUP(C4,'[1]PREÇO ATUAL'!$A$1:$D$1048576,4,0)</f>
        <v>41.43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6" t="n">
        <v>1</v>
      </c>
      <c r="O4" s="56" t="n">
        <v>1</v>
      </c>
      <c r="P4" s="56" t="n">
        <v>1</v>
      </c>
      <c r="Q4" s="56" t="n">
        <v>1</v>
      </c>
      <c r="R4" s="56" t="n">
        <v>1</v>
      </c>
      <c r="S4" s="56" t="n">
        <v>1</v>
      </c>
      <c r="T4" s="58" t="n">
        <f aca="false">$D4*E4</f>
        <v>41.43</v>
      </c>
      <c r="U4" s="58" t="n">
        <f aca="false">$D4*F4</f>
        <v>41.43</v>
      </c>
      <c r="V4" s="58" t="n">
        <f aca="false">$D4*G4</f>
        <v>41.43</v>
      </c>
      <c r="W4" s="58" t="n">
        <f aca="false">$D4*H4</f>
        <v>41.43</v>
      </c>
      <c r="X4" s="58" t="n">
        <f aca="false">$D4*I4</f>
        <v>41.43</v>
      </c>
      <c r="Y4" s="58" t="n">
        <f aca="false">$D4*J4</f>
        <v>41.43</v>
      </c>
      <c r="Z4" s="58" t="n">
        <f aca="false">$D4*K4</f>
        <v>41.43</v>
      </c>
      <c r="AA4" s="58" t="n">
        <f aca="false">$D4*L4</f>
        <v>41.43</v>
      </c>
      <c r="AB4" s="58" t="n">
        <f aca="false">$D4*M4</f>
        <v>41.43</v>
      </c>
      <c r="AC4" s="58" t="n">
        <f aca="false">$D4*N4</f>
        <v>41.43</v>
      </c>
      <c r="AD4" s="58" t="n">
        <f aca="false">$D4*O4</f>
        <v>41.43</v>
      </c>
      <c r="AE4" s="58" t="n">
        <f aca="false">$D4*P4</f>
        <v>41.43</v>
      </c>
      <c r="AF4" s="58" t="n">
        <f aca="false">$D4*Q4</f>
        <v>41.43</v>
      </c>
      <c r="AG4" s="58" t="n">
        <f aca="false">$D4*R4</f>
        <v>41.43</v>
      </c>
      <c r="AH4" s="58" t="n">
        <f aca="false">$D4*S4</f>
        <v>41.43</v>
      </c>
      <c r="AI4" s="59" t="n">
        <f aca="false">AJ4/$AI$2</f>
        <v>0.0407668590921018</v>
      </c>
      <c r="AJ4" s="58" t="n">
        <f aca="false">SUM(T4:AH4)</f>
        <v>621.45</v>
      </c>
    </row>
    <row r="5" customFormat="false" ht="15" hidden="false" customHeight="false" outlineLevel="0" collapsed="false">
      <c r="A5" s="60" t="n">
        <v>2</v>
      </c>
      <c r="B5" s="61" t="s">
        <v>83</v>
      </c>
      <c r="C5" s="62" t="s">
        <v>51</v>
      </c>
      <c r="D5" s="63" t="n">
        <f aca="false">VLOOKUP(C5,'[1]PREÇO ATUAL'!$A$1:$D$1048576,4,0)</f>
        <v>35.9</v>
      </c>
      <c r="E5" s="64"/>
      <c r="F5" s="64" t="n">
        <v>1</v>
      </c>
      <c r="G5" s="64"/>
      <c r="H5" s="64" t="n">
        <v>1</v>
      </c>
      <c r="I5" s="65"/>
      <c r="J5" s="65" t="n">
        <v>1</v>
      </c>
      <c r="K5" s="65"/>
      <c r="L5" s="65" t="n">
        <v>1</v>
      </c>
      <c r="M5" s="65"/>
      <c r="N5" s="64" t="n">
        <v>1</v>
      </c>
      <c r="O5" s="79"/>
      <c r="P5" s="65" t="n">
        <v>1</v>
      </c>
      <c r="Q5" s="65"/>
      <c r="R5" s="65" t="n">
        <v>1</v>
      </c>
      <c r="S5" s="65"/>
      <c r="T5" s="66" t="n">
        <f aca="false">$D5*E5</f>
        <v>0</v>
      </c>
      <c r="U5" s="66" t="n">
        <f aca="false">$D5*F5</f>
        <v>35.9</v>
      </c>
      <c r="V5" s="66" t="n">
        <f aca="false">$D5*G5</f>
        <v>0</v>
      </c>
      <c r="W5" s="66" t="n">
        <f aca="false">$D5*H5</f>
        <v>35.9</v>
      </c>
      <c r="X5" s="66" t="n">
        <f aca="false">$D5*I5</f>
        <v>0</v>
      </c>
      <c r="Y5" s="66" t="n">
        <f aca="false">$D5*J5</f>
        <v>35.9</v>
      </c>
      <c r="Z5" s="66" t="n">
        <f aca="false">$D5*K5</f>
        <v>0</v>
      </c>
      <c r="AA5" s="66" t="n">
        <f aca="false">$D5*L5</f>
        <v>35.9</v>
      </c>
      <c r="AB5" s="66" t="n">
        <f aca="false">$D5*M5</f>
        <v>0</v>
      </c>
      <c r="AC5" s="66" t="n">
        <f aca="false">$D5*N5</f>
        <v>35.9</v>
      </c>
      <c r="AD5" s="66" t="n">
        <f aca="false">$D5*O5</f>
        <v>0</v>
      </c>
      <c r="AE5" s="66" t="n">
        <f aca="false">$D5*P5</f>
        <v>35.9</v>
      </c>
      <c r="AF5" s="66" t="n">
        <f aca="false">$D5*Q5</f>
        <v>0</v>
      </c>
      <c r="AG5" s="66" t="n">
        <f aca="false">$D5*R5</f>
        <v>35.9</v>
      </c>
      <c r="AH5" s="66" t="n">
        <f aca="false">$D5*S5</f>
        <v>0</v>
      </c>
      <c r="AI5" s="67" t="n">
        <f aca="false">AJ5/$AI$2</f>
        <v>0.0164851744948832</v>
      </c>
      <c r="AJ5" s="66" t="n">
        <f aca="false">SUM(T5:AH5)</f>
        <v>251.3</v>
      </c>
    </row>
    <row r="6" customFormat="false" ht="15" hidden="false" customHeight="false" outlineLevel="0" collapsed="false">
      <c r="A6" s="52" t="n">
        <v>3</v>
      </c>
      <c r="B6" s="53" t="s">
        <v>52</v>
      </c>
      <c r="C6" s="54" t="s">
        <v>84</v>
      </c>
      <c r="D6" s="55" t="n">
        <f aca="false">VLOOKUP(C6,'[1]PREÇO ATUAL'!$A$1:$D$1048576,4,0)</f>
        <v>84.9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56" t="n">
        <v>1</v>
      </c>
      <c r="O6" s="80"/>
      <c r="P6" s="57" t="n">
        <v>1</v>
      </c>
      <c r="Q6" s="57"/>
      <c r="R6" s="57" t="n">
        <v>1</v>
      </c>
      <c r="S6" s="57"/>
      <c r="T6" s="58" t="n">
        <f aca="false">$D6*E6</f>
        <v>0</v>
      </c>
      <c r="U6" s="58" t="n">
        <f aca="false">$D6*F6</f>
        <v>84.9</v>
      </c>
      <c r="V6" s="58" t="n">
        <f aca="false">$D6*G6</f>
        <v>0</v>
      </c>
      <c r="W6" s="58" t="n">
        <f aca="false">$D6*H6</f>
        <v>84.9</v>
      </c>
      <c r="X6" s="58" t="n">
        <f aca="false">$D6*I6</f>
        <v>0</v>
      </c>
      <c r="Y6" s="58" t="n">
        <f aca="false">$D6*J6</f>
        <v>84.9</v>
      </c>
      <c r="Z6" s="58" t="n">
        <f aca="false">$D6*K6</f>
        <v>0</v>
      </c>
      <c r="AA6" s="58" t="n">
        <f aca="false">$D6*L6</f>
        <v>84.9</v>
      </c>
      <c r="AB6" s="58" t="n">
        <f aca="false">$D6*M6</f>
        <v>0</v>
      </c>
      <c r="AC6" s="58" t="n">
        <f aca="false">$D6*N6</f>
        <v>84.9</v>
      </c>
      <c r="AD6" s="58" t="n">
        <f aca="false">$D6*O6</f>
        <v>0</v>
      </c>
      <c r="AE6" s="58" t="n">
        <f aca="false">$D6*P6</f>
        <v>84.9</v>
      </c>
      <c r="AF6" s="58" t="n">
        <f aca="false">$D6*Q6</f>
        <v>0</v>
      </c>
      <c r="AG6" s="58" t="n">
        <f aca="false">$D6*R6</f>
        <v>84.9</v>
      </c>
      <c r="AH6" s="58" t="n">
        <f aca="false">$D6*S6</f>
        <v>0</v>
      </c>
      <c r="AI6" s="59" t="n">
        <f aca="false">AJ6/$AI$2</f>
        <v>0.0389858304906849</v>
      </c>
      <c r="AJ6" s="58" t="n">
        <f aca="false">SUM(T6:AH6)</f>
        <v>594.3</v>
      </c>
    </row>
    <row r="7" customFormat="false" ht="15.75" hidden="false" customHeight="true" outlineLevel="0" collapsed="false">
      <c r="A7" s="60" t="n">
        <v>4</v>
      </c>
      <c r="B7" s="61" t="s">
        <v>85</v>
      </c>
      <c r="C7" s="62" t="s">
        <v>86</v>
      </c>
      <c r="D7" s="63" t="n">
        <f aca="false">VLOOKUP(C7,'[1]PREÇO ATUAL'!$A$1:$D$1048576,4,0)</f>
        <v>114.24</v>
      </c>
      <c r="E7" s="64"/>
      <c r="F7" s="64"/>
      <c r="G7" s="64"/>
      <c r="H7" s="64"/>
      <c r="I7" s="65"/>
      <c r="J7" s="65" t="n">
        <v>4</v>
      </c>
      <c r="K7" s="65"/>
      <c r="L7" s="65"/>
      <c r="M7" s="65"/>
      <c r="N7" s="64"/>
      <c r="O7" s="79"/>
      <c r="P7" s="65" t="n">
        <v>4</v>
      </c>
      <c r="Q7" s="65"/>
      <c r="R7" s="65"/>
      <c r="S7" s="65"/>
      <c r="T7" s="66" t="n">
        <f aca="false">$D7*E7</f>
        <v>0</v>
      </c>
      <c r="U7" s="66" t="n">
        <f aca="false">$D7*F7</f>
        <v>0</v>
      </c>
      <c r="V7" s="66" t="n">
        <f aca="false">$D7*G7</f>
        <v>0</v>
      </c>
      <c r="W7" s="66" t="n">
        <f aca="false">$D7*H7</f>
        <v>0</v>
      </c>
      <c r="X7" s="66" t="n">
        <f aca="false">$D7*I7</f>
        <v>0</v>
      </c>
      <c r="Y7" s="66" t="n">
        <f aca="false">$D7*J7</f>
        <v>456.96</v>
      </c>
      <c r="Z7" s="66" t="n">
        <f aca="false">$D7*K7</f>
        <v>0</v>
      </c>
      <c r="AA7" s="66" t="n">
        <f aca="false">$D7*L7</f>
        <v>0</v>
      </c>
      <c r="AB7" s="66" t="n">
        <f aca="false">$D7*M7</f>
        <v>0</v>
      </c>
      <c r="AC7" s="66" t="n">
        <f aca="false">$D7*N7</f>
        <v>0</v>
      </c>
      <c r="AD7" s="66" t="n">
        <f aca="false">$D7*O7</f>
        <v>0</v>
      </c>
      <c r="AE7" s="66" t="n">
        <f aca="false">$D7*P7</f>
        <v>456.96</v>
      </c>
      <c r="AF7" s="66" t="n">
        <f aca="false">$D7*Q7</f>
        <v>0</v>
      </c>
      <c r="AG7" s="66" t="n">
        <f aca="false">$D7*R7</f>
        <v>0</v>
      </c>
      <c r="AH7" s="66" t="n">
        <f aca="false">$D7*S7</f>
        <v>0</v>
      </c>
      <c r="AI7" s="67" t="n">
        <f aca="false">AJ7/$AI$2</f>
        <v>0.0599527683022829</v>
      </c>
      <c r="AJ7" s="66" t="n">
        <f aca="false">SUM(T7:AH7)</f>
        <v>913.92</v>
      </c>
    </row>
    <row r="8" customFormat="false" ht="15.75" hidden="false" customHeight="true" outlineLevel="0" collapsed="false">
      <c r="A8" s="52" t="n">
        <v>5</v>
      </c>
      <c r="B8" s="53" t="s">
        <v>87</v>
      </c>
      <c r="C8" s="54" t="s">
        <v>88</v>
      </c>
      <c r="D8" s="55" t="n">
        <f aca="false">VLOOKUP(C8,'[1]PREÇO ATUAL'!$A$1:$D$1048576,4,0)</f>
        <v>169.01</v>
      </c>
      <c r="E8" s="56"/>
      <c r="F8" s="56"/>
      <c r="G8" s="56"/>
      <c r="H8" s="56"/>
      <c r="I8" s="57"/>
      <c r="J8" s="57" t="n">
        <v>1</v>
      </c>
      <c r="K8" s="57"/>
      <c r="L8" s="57"/>
      <c r="M8" s="57"/>
      <c r="N8" s="56"/>
      <c r="O8" s="80"/>
      <c r="P8" s="57" t="n">
        <v>1</v>
      </c>
      <c r="Q8" s="57"/>
      <c r="R8" s="57"/>
      <c r="S8" s="57"/>
      <c r="T8" s="58" t="n">
        <f aca="false">$D8*E8</f>
        <v>0</v>
      </c>
      <c r="U8" s="58" t="n">
        <f aca="false">$D8*F8</f>
        <v>0</v>
      </c>
      <c r="V8" s="58" t="n">
        <f aca="false">$D8*G8</f>
        <v>0</v>
      </c>
      <c r="W8" s="58" t="n">
        <f aca="false">$D8*H8</f>
        <v>0</v>
      </c>
      <c r="X8" s="58" t="n">
        <f aca="false">$D8*I8</f>
        <v>0</v>
      </c>
      <c r="Y8" s="58" t="n">
        <f aca="false">$D8*J8</f>
        <v>169.01</v>
      </c>
      <c r="Z8" s="58" t="n">
        <f aca="false">$D8*K8</f>
        <v>0</v>
      </c>
      <c r="AA8" s="58" t="n">
        <f aca="false">$D8*L8</f>
        <v>0</v>
      </c>
      <c r="AB8" s="58" t="n">
        <f aca="false">$D8*M8</f>
        <v>0</v>
      </c>
      <c r="AC8" s="58" t="n">
        <f aca="false">$D8*N8</f>
        <v>0</v>
      </c>
      <c r="AD8" s="58" t="n">
        <f aca="false">$D8*O8</f>
        <v>0</v>
      </c>
      <c r="AE8" s="58" t="n">
        <f aca="false">$D8*P8</f>
        <v>169.01</v>
      </c>
      <c r="AF8" s="58" t="n">
        <f aca="false">$D8*Q8</f>
        <v>0</v>
      </c>
      <c r="AG8" s="58" t="n">
        <f aca="false">$D8*R8</f>
        <v>0</v>
      </c>
      <c r="AH8" s="58" t="n">
        <f aca="false">$D8*S8</f>
        <v>0</v>
      </c>
      <c r="AI8" s="59" t="n">
        <f aca="false">AJ8/$AI$2</f>
        <v>0.0221739700865914</v>
      </c>
      <c r="AJ8" s="58" t="n">
        <f aca="false">SUM(T8:AH8)</f>
        <v>338.02</v>
      </c>
    </row>
    <row r="9" customFormat="false" ht="15.75" hidden="false" customHeight="true" outlineLevel="0" collapsed="false">
      <c r="A9" s="60" t="n">
        <v>6</v>
      </c>
      <c r="B9" s="61" t="s">
        <v>58</v>
      </c>
      <c r="C9" s="62" t="s">
        <v>59</v>
      </c>
      <c r="D9" s="63" t="n">
        <f aca="false">VLOOKUP(C9,'[1]PREÇO ATUAL'!$A$1:$D$1048576,4,0)</f>
        <v>165.97812</v>
      </c>
      <c r="E9" s="64"/>
      <c r="F9" s="64"/>
      <c r="G9" s="64"/>
      <c r="H9" s="64"/>
      <c r="I9" s="65"/>
      <c r="J9" s="65"/>
      <c r="K9" s="65"/>
      <c r="L9" s="65"/>
      <c r="M9" s="65"/>
      <c r="N9" s="64"/>
      <c r="O9" s="79"/>
      <c r="P9" s="68" t="n">
        <v>2</v>
      </c>
      <c r="Q9" s="65"/>
      <c r="R9" s="65"/>
      <c r="S9" s="65"/>
      <c r="T9" s="66" t="n">
        <f aca="false">$D9*E9</f>
        <v>0</v>
      </c>
      <c r="U9" s="66" t="n">
        <f aca="false">$D9*F9</f>
        <v>0</v>
      </c>
      <c r="V9" s="66" t="n">
        <f aca="false">$D9*G9</f>
        <v>0</v>
      </c>
      <c r="W9" s="66" t="n">
        <f aca="false">$D9*H9</f>
        <v>0</v>
      </c>
      <c r="X9" s="66" t="n">
        <f aca="false">$D9*I9</f>
        <v>0</v>
      </c>
      <c r="Y9" s="66" t="n">
        <f aca="false">$D9*J9</f>
        <v>0</v>
      </c>
      <c r="Z9" s="66" t="n">
        <f aca="false">$D9*K9</f>
        <v>0</v>
      </c>
      <c r="AA9" s="66" t="n">
        <f aca="false">$D9*L9</f>
        <v>0</v>
      </c>
      <c r="AB9" s="66" t="n">
        <f aca="false">$D9*M9</f>
        <v>0</v>
      </c>
      <c r="AC9" s="66" t="n">
        <f aca="false">$D9*N9</f>
        <v>0</v>
      </c>
      <c r="AD9" s="66" t="n">
        <f aca="false">$D9*O9</f>
        <v>0</v>
      </c>
      <c r="AE9" s="66" t="n">
        <f aca="false">$D9*P9</f>
        <v>331.95624</v>
      </c>
      <c r="AF9" s="66" t="n">
        <f aca="false">$D9*Q9</f>
        <v>0</v>
      </c>
      <c r="AG9" s="66" t="n">
        <f aca="false">$D9*R9</f>
        <v>0</v>
      </c>
      <c r="AH9" s="66" t="n">
        <f aca="false">$D9*S9</f>
        <v>0</v>
      </c>
      <c r="AI9" s="67" t="n">
        <f aca="false">AJ9/$AI$2</f>
        <v>0.0217761899763842</v>
      </c>
      <c r="AJ9" s="66" t="n">
        <f aca="false">SUM(T9:AH9)</f>
        <v>331.95624</v>
      </c>
    </row>
    <row r="10" customFormat="false" ht="15.75" hidden="false" customHeight="true" outlineLevel="0" collapsed="false">
      <c r="A10" s="52" t="n">
        <v>7</v>
      </c>
      <c r="B10" s="53" t="s">
        <v>60</v>
      </c>
      <c r="C10" s="54" t="s">
        <v>61</v>
      </c>
      <c r="D10" s="55" t="n">
        <f aca="false">VLOOKUP(C10,'[1]PREÇO ATUAL'!$A$1:$D$1048576,4,0)</f>
        <v>33.6224930838505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88"/>
      <c r="P10" s="69"/>
      <c r="Q10" s="69"/>
      <c r="R10" s="69"/>
      <c r="S10" s="69"/>
      <c r="T10" s="58" t="n">
        <f aca="false">$D10*E10</f>
        <v>0</v>
      </c>
      <c r="U10" s="58" t="n">
        <f aca="false">$D10*F10</f>
        <v>0</v>
      </c>
      <c r="V10" s="58" t="n">
        <f aca="false">$D10*G10</f>
        <v>0</v>
      </c>
      <c r="W10" s="58" t="n">
        <f aca="false">$D10*H10</f>
        <v>0</v>
      </c>
      <c r="X10" s="58" t="n">
        <f aca="false">$D10*I10</f>
        <v>0</v>
      </c>
      <c r="Y10" s="58" t="n">
        <f aca="false">$D10*J10</f>
        <v>0</v>
      </c>
      <c r="Z10" s="58" t="n">
        <f aca="false">$D10*K10</f>
        <v>0</v>
      </c>
      <c r="AA10" s="58" t="n">
        <f aca="false">$D10*L10</f>
        <v>0</v>
      </c>
      <c r="AB10" s="58" t="n">
        <f aca="false">$D10*M10</f>
        <v>0</v>
      </c>
      <c r="AC10" s="58" t="n">
        <f aca="false">$D10*N10</f>
        <v>0</v>
      </c>
      <c r="AD10" s="58" t="n">
        <f aca="false">$D10*O10</f>
        <v>0</v>
      </c>
      <c r="AE10" s="58" t="n">
        <f aca="false">$D10*P10</f>
        <v>0</v>
      </c>
      <c r="AF10" s="58" t="n">
        <f aca="false">$D10*Q10</f>
        <v>0</v>
      </c>
      <c r="AG10" s="58" t="n">
        <f aca="false">$D10*R10</f>
        <v>0</v>
      </c>
      <c r="AH10" s="58" t="n">
        <f aca="false">$D10*S10</f>
        <v>0</v>
      </c>
      <c r="AI10" s="59" t="n">
        <f aca="false">AJ10/$AI$2</f>
        <v>0</v>
      </c>
      <c r="AJ10" s="58" t="n">
        <f aca="false">SUM(T10:AH10)</f>
        <v>0</v>
      </c>
    </row>
    <row r="11" customFormat="false" ht="15.75" hidden="false" customHeight="true" outlineLevel="0" collapsed="false">
      <c r="A11" s="60" t="n">
        <v>8</v>
      </c>
      <c r="B11" s="61" t="s">
        <v>89</v>
      </c>
      <c r="C11" s="62" t="s">
        <v>90</v>
      </c>
      <c r="D11" s="63" t="n">
        <f aca="false">VLOOKUP(C11,'[1]PREÇO ATUAL'!$A$1:$D$1048576,4,0)</f>
        <v>75.7</v>
      </c>
      <c r="E11" s="70" t="n">
        <v>4.7</v>
      </c>
      <c r="F11" s="70" t="n">
        <v>4.7</v>
      </c>
      <c r="G11" s="70" t="n">
        <v>4.7</v>
      </c>
      <c r="H11" s="70" t="n">
        <v>4.7</v>
      </c>
      <c r="I11" s="63" t="n">
        <v>4.7</v>
      </c>
      <c r="J11" s="63" t="n">
        <v>4.7</v>
      </c>
      <c r="K11" s="63" t="n">
        <v>4.7</v>
      </c>
      <c r="L11" s="63" t="n">
        <v>4.7</v>
      </c>
      <c r="M11" s="63" t="n">
        <v>4.7</v>
      </c>
      <c r="N11" s="70" t="n">
        <v>4.7</v>
      </c>
      <c r="O11" s="81" t="n">
        <v>4.7</v>
      </c>
      <c r="P11" s="63" t="n">
        <v>4.7</v>
      </c>
      <c r="Q11" s="63" t="n">
        <v>4.7</v>
      </c>
      <c r="R11" s="63" t="n">
        <v>4.7</v>
      </c>
      <c r="S11" s="63" t="n">
        <v>4.7</v>
      </c>
      <c r="T11" s="66" t="n">
        <f aca="false">$D11*E11</f>
        <v>355.79</v>
      </c>
      <c r="U11" s="66" t="n">
        <f aca="false">$D11*F11</f>
        <v>355.79</v>
      </c>
      <c r="V11" s="66" t="n">
        <f aca="false">$D11*G11</f>
        <v>355.79</v>
      </c>
      <c r="W11" s="66" t="n">
        <f aca="false">$D11*H11</f>
        <v>355.79</v>
      </c>
      <c r="X11" s="66" t="n">
        <f aca="false">$D11*I11</f>
        <v>355.79</v>
      </c>
      <c r="Y11" s="66" t="n">
        <f aca="false">$D11*J11</f>
        <v>355.79</v>
      </c>
      <c r="Z11" s="66" t="n">
        <f aca="false">$D11*K11</f>
        <v>355.79</v>
      </c>
      <c r="AA11" s="66" t="n">
        <f aca="false">$D11*L11</f>
        <v>355.79</v>
      </c>
      <c r="AB11" s="66" t="n">
        <f aca="false">$D11*M11</f>
        <v>355.79</v>
      </c>
      <c r="AC11" s="66" t="n">
        <f aca="false">$D11*N11</f>
        <v>355.79</v>
      </c>
      <c r="AD11" s="66" t="n">
        <f aca="false">$D11*O11</f>
        <v>355.79</v>
      </c>
      <c r="AE11" s="66" t="n">
        <f aca="false">$D11*P11</f>
        <v>355.79</v>
      </c>
      <c r="AF11" s="66" t="n">
        <f aca="false">$D11*Q11</f>
        <v>355.79</v>
      </c>
      <c r="AG11" s="66" t="n">
        <f aca="false">$D11*R11</f>
        <v>355.79</v>
      </c>
      <c r="AH11" s="66" t="n">
        <f aca="false">$D11*S11</f>
        <v>355.79</v>
      </c>
      <c r="AI11" s="67" t="n">
        <f aca="false">AJ11/$AI$2</f>
        <v>0.350095119391236</v>
      </c>
      <c r="AJ11" s="66" t="n">
        <f aca="false">SUM(T11:AH11)</f>
        <v>5336.85</v>
      </c>
    </row>
    <row r="12" customFormat="false" ht="15.75" hidden="false" customHeight="true" outlineLevel="0" collapsed="false">
      <c r="A12" s="52" t="n">
        <v>9</v>
      </c>
      <c r="B12" s="53" t="s">
        <v>64</v>
      </c>
      <c r="C12" s="54" t="s">
        <v>65</v>
      </c>
      <c r="D12" s="55" t="n">
        <f aca="false">VLOOKUP(C12,'[1]PREÇO ATUAL'!$A$1:$D$1048576,4,0)</f>
        <v>342</v>
      </c>
      <c r="E12" s="69" t="n">
        <v>0.85</v>
      </c>
      <c r="F12" s="69" t="n">
        <v>1.2</v>
      </c>
      <c r="G12" s="69" t="n">
        <v>0.9</v>
      </c>
      <c r="H12" s="69" t="n">
        <v>1.65</v>
      </c>
      <c r="I12" s="69" t="n">
        <v>1</v>
      </c>
      <c r="J12" s="69" t="n">
        <v>2.55</v>
      </c>
      <c r="K12" s="69" t="n">
        <v>0.9</v>
      </c>
      <c r="L12" s="69" t="n">
        <v>1.65</v>
      </c>
      <c r="M12" s="69" t="n">
        <v>0.9</v>
      </c>
      <c r="N12" s="69" t="n">
        <v>1.35</v>
      </c>
      <c r="O12" s="88" t="n">
        <v>0.85</v>
      </c>
      <c r="P12" s="69" t="n">
        <v>3.1</v>
      </c>
      <c r="Q12" s="69" t="n">
        <v>0.85</v>
      </c>
      <c r="R12" s="69" t="n">
        <v>1.25</v>
      </c>
      <c r="S12" s="69" t="n">
        <v>1.05</v>
      </c>
      <c r="T12" s="58" t="n">
        <f aca="false">D12*E12</f>
        <v>290.7</v>
      </c>
      <c r="U12" s="58" t="n">
        <f aca="false">$D12*F12</f>
        <v>410.4</v>
      </c>
      <c r="V12" s="58" t="n">
        <f aca="false">$D12*G12</f>
        <v>307.8</v>
      </c>
      <c r="W12" s="58" t="n">
        <f aca="false">$D12*H12</f>
        <v>564.3</v>
      </c>
      <c r="X12" s="58" t="n">
        <f aca="false">$D12*I12</f>
        <v>342</v>
      </c>
      <c r="Y12" s="58" t="n">
        <f aca="false">$D12*J12</f>
        <v>872.1</v>
      </c>
      <c r="Z12" s="58" t="n">
        <f aca="false">$D12*K12</f>
        <v>307.8</v>
      </c>
      <c r="AA12" s="58" t="n">
        <f aca="false">$D12*L12</f>
        <v>564.3</v>
      </c>
      <c r="AB12" s="58" t="n">
        <f aca="false">$D12*M12</f>
        <v>307.8</v>
      </c>
      <c r="AC12" s="58" t="n">
        <f aca="false">$D12*N12</f>
        <v>461.7</v>
      </c>
      <c r="AD12" s="58" t="n">
        <f aca="false">$D12*O12</f>
        <v>290.7</v>
      </c>
      <c r="AE12" s="58" t="n">
        <f aca="false">$D12*P12</f>
        <v>1060.2</v>
      </c>
      <c r="AF12" s="58" t="n">
        <f aca="false">$D12*Q12</f>
        <v>290.7</v>
      </c>
      <c r="AG12" s="58" t="n">
        <f aca="false">$D12*R12</f>
        <v>427.5</v>
      </c>
      <c r="AH12" s="58" t="n">
        <f aca="false">$D12*S12</f>
        <v>359.1</v>
      </c>
      <c r="AI12" s="59" t="n">
        <f aca="false">AJ12/$AI$2</f>
        <v>0.449822881133561</v>
      </c>
      <c r="AJ12" s="58" t="n">
        <f aca="false">SUM(T12:AH12)</f>
        <v>6857.1</v>
      </c>
    </row>
    <row r="13" customFormat="false" ht="15.75" hidden="false" customHeight="true" outlineLevel="0" collapsed="false">
      <c r="H13" s="71"/>
      <c r="L13" s="71"/>
    </row>
    <row r="14" customFormat="false" ht="15.75" hidden="false" customHeight="true" outlineLevel="0" collapsed="false">
      <c r="H14" s="71"/>
      <c r="L14" s="71"/>
    </row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</sheetData>
  <mergeCells count="5">
    <mergeCell ref="A1:D2"/>
    <mergeCell ref="E1:S2"/>
    <mergeCell ref="T1:AH1"/>
    <mergeCell ref="AI1:AJ1"/>
    <mergeCell ref="AI2:AJ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Z9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C4" activeCellId="0" sqref="C4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48.15"/>
    <col collapsed="false" customWidth="true" hidden="false" outlineLevel="0" max="3" min="3" style="0" width="16.87"/>
    <col collapsed="false" customWidth="true" hidden="false" outlineLevel="0" max="4" min="4" style="0" width="7.87"/>
    <col collapsed="false" customWidth="true" hidden="false" outlineLevel="0" max="5" min="5" style="0" width="6.42"/>
    <col collapsed="false" customWidth="true" hidden="false" outlineLevel="0" max="14" min="6" style="0" width="5.43"/>
    <col collapsed="false" customWidth="true" hidden="false" outlineLevel="0" max="15" min="15" style="0" width="14.57"/>
    <col collapsed="false" customWidth="true" hidden="false" outlineLevel="0" max="16" min="16" style="0" width="13.43"/>
    <col collapsed="false" customWidth="true" hidden="false" outlineLevel="0" max="18" min="17" style="0" width="15.71"/>
    <col collapsed="false" customWidth="true" hidden="false" outlineLevel="0" max="19" min="19" style="0" width="13.43"/>
    <col collapsed="false" customWidth="true" hidden="false" outlineLevel="0" max="20" min="20" style="0" width="16.87"/>
    <col collapsed="false" customWidth="true" hidden="false" outlineLevel="0" max="21" min="21" style="0" width="14.57"/>
    <col collapsed="false" customWidth="true" hidden="false" outlineLevel="0" max="22" min="22" style="0" width="16.87"/>
    <col collapsed="false" customWidth="true" hidden="false" outlineLevel="0" max="23" min="23" style="0" width="15.71"/>
    <col collapsed="false" customWidth="true" hidden="false" outlineLevel="0" max="24" min="24" style="0" width="14.57"/>
    <col collapsed="false" customWidth="true" hidden="false" outlineLevel="0" max="25" min="25" style="0" width="7.57"/>
    <col collapsed="false" customWidth="true" hidden="false" outlineLevel="0" max="26" min="26" style="0" width="15.57"/>
  </cols>
  <sheetData>
    <row r="1" customFormat="false" ht="15.75" hidden="false" customHeight="true" outlineLevel="0" collapsed="false">
      <c r="A1" s="89" t="s">
        <v>91</v>
      </c>
      <c r="B1" s="89"/>
      <c r="C1" s="89"/>
      <c r="D1" s="89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90" t="s">
        <v>30</v>
      </c>
      <c r="P1" s="90"/>
      <c r="Q1" s="90"/>
      <c r="R1" s="90"/>
      <c r="S1" s="90"/>
      <c r="T1" s="90"/>
      <c r="U1" s="90"/>
      <c r="V1" s="90"/>
      <c r="W1" s="90"/>
      <c r="X1" s="90"/>
      <c r="Y1" s="37" t="s">
        <v>31</v>
      </c>
      <c r="Z1" s="37"/>
    </row>
    <row r="2" customFormat="false" ht="15" hidden="false" customHeight="true" outlineLevel="0" collapsed="false">
      <c r="A2" s="89"/>
      <c r="B2" s="89"/>
      <c r="C2" s="89"/>
      <c r="D2" s="89"/>
      <c r="E2" s="86"/>
      <c r="F2" s="86"/>
      <c r="G2" s="86"/>
      <c r="H2" s="86"/>
      <c r="I2" s="86"/>
      <c r="J2" s="86"/>
      <c r="K2" s="86"/>
      <c r="L2" s="86"/>
      <c r="M2" s="86"/>
      <c r="N2" s="86"/>
      <c r="O2" s="43" t="n">
        <f aca="false">MROUND(SUM(O4:O13),1)</f>
        <v>608</v>
      </c>
      <c r="P2" s="43" t="n">
        <f aca="false">MROUND(SUM(P4:P13),1)</f>
        <v>813</v>
      </c>
      <c r="Q2" s="43" t="n">
        <f aca="false">MROUND(SUM(Q4:Q13),1)</f>
        <v>1098</v>
      </c>
      <c r="R2" s="43" t="n">
        <f aca="false">MROUND(SUM(R4:R13),1)</f>
        <v>915</v>
      </c>
      <c r="S2" s="43" t="n">
        <f aca="false">MROUND(SUM(S4:S13),1)</f>
        <v>676</v>
      </c>
      <c r="T2" s="43" t="n">
        <f aca="false">MROUND(SUM(T4:T13),1)</f>
        <v>2305</v>
      </c>
      <c r="U2" s="43" t="n">
        <f aca="false">MROUND(SUM(U4:U13),1)</f>
        <v>608</v>
      </c>
      <c r="V2" s="43" t="n">
        <f aca="false">MROUND(SUM(V4:V13),1)</f>
        <v>915</v>
      </c>
      <c r="W2" s="43" t="n">
        <f aca="false">MROUND(SUM(W4:W13),1)</f>
        <v>1098</v>
      </c>
      <c r="X2" s="43" t="n">
        <f aca="false">MROUND(SUM(X4:X13),1)</f>
        <v>847</v>
      </c>
      <c r="Y2" s="44" t="n">
        <f aca="false">SUM(O2:X2)</f>
        <v>9883</v>
      </c>
      <c r="Z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n">
        <v>10000</v>
      </c>
      <c r="P3" s="48" t="n">
        <v>20000</v>
      </c>
      <c r="Q3" s="48" t="n">
        <v>30000</v>
      </c>
      <c r="R3" s="48" t="n">
        <v>40000</v>
      </c>
      <c r="S3" s="48" t="n">
        <v>50000</v>
      </c>
      <c r="T3" s="48" t="n">
        <v>60000</v>
      </c>
      <c r="U3" s="48" t="n">
        <v>70000</v>
      </c>
      <c r="V3" s="48" t="n">
        <v>80000</v>
      </c>
      <c r="W3" s="48" t="n">
        <v>90000</v>
      </c>
      <c r="X3" s="48" t="n">
        <v>100000</v>
      </c>
      <c r="Y3" s="51" t="s">
        <v>46</v>
      </c>
      <c r="Z3" s="45" t="s">
        <v>47</v>
      </c>
    </row>
    <row r="4" customFormat="false" ht="15" hidden="false" customHeight="false" outlineLevel="0" collapsed="false">
      <c r="A4" s="52" t="n">
        <v>1</v>
      </c>
      <c r="B4" s="53" t="s">
        <v>92</v>
      </c>
      <c r="C4" s="54" t="s">
        <v>93</v>
      </c>
      <c r="D4" s="55" t="n">
        <f aca="false">VLOOKUP(C4,'[1]PREÇO ATUAL'!$A$1:$D$1048576,4,0)</f>
        <v>24.15</v>
      </c>
      <c r="E4" s="56"/>
      <c r="F4" s="56"/>
      <c r="G4" s="56" t="n">
        <v>4</v>
      </c>
      <c r="H4" s="56"/>
      <c r="I4" s="57"/>
      <c r="J4" s="57" t="n">
        <v>4</v>
      </c>
      <c r="K4" s="57"/>
      <c r="L4" s="57"/>
      <c r="M4" s="57" t="n">
        <v>4</v>
      </c>
      <c r="N4" s="57"/>
      <c r="O4" s="58" t="n">
        <f aca="false">$D4*E4</f>
        <v>0</v>
      </c>
      <c r="P4" s="58" t="n">
        <f aca="false">$D4*F4</f>
        <v>0</v>
      </c>
      <c r="Q4" s="58" t="n">
        <f aca="false">$D4*G4</f>
        <v>96.6</v>
      </c>
      <c r="R4" s="58" t="n">
        <f aca="false">$D4*H4</f>
        <v>0</v>
      </c>
      <c r="S4" s="58" t="n">
        <f aca="false">$D4*I4</f>
        <v>0</v>
      </c>
      <c r="T4" s="58" t="n">
        <f aca="false">$D4*J4</f>
        <v>96.6</v>
      </c>
      <c r="U4" s="58" t="n">
        <f aca="false">$D4*K4</f>
        <v>0</v>
      </c>
      <c r="V4" s="58" t="n">
        <f aca="false">$D4*L4</f>
        <v>0</v>
      </c>
      <c r="W4" s="58" t="n">
        <f aca="false">$D4*M4</f>
        <v>96.6</v>
      </c>
      <c r="X4" s="91" t="n">
        <f aca="false">$D4*N4</f>
        <v>0</v>
      </c>
      <c r="Y4" s="59" t="n">
        <f aca="false">Z4/$Y$2</f>
        <v>0.0293230800364262</v>
      </c>
      <c r="Z4" s="58" t="n">
        <f aca="false">SUM(O4:X4)</f>
        <v>289.8</v>
      </c>
    </row>
    <row r="5" customFormat="false" ht="15" hidden="false" customHeight="false" outlineLevel="0" collapsed="false">
      <c r="A5" s="60" t="n">
        <v>2</v>
      </c>
      <c r="B5" s="61" t="s">
        <v>94</v>
      </c>
      <c r="C5" s="62" t="s">
        <v>95</v>
      </c>
      <c r="D5" s="63" t="n">
        <f aca="false">VLOOKUP(C5,'[1]PREÇO ATUAL'!$A$1:$D$1048576,4,0)</f>
        <v>136.4</v>
      </c>
      <c r="E5" s="64"/>
      <c r="F5" s="64"/>
      <c r="G5" s="64"/>
      <c r="H5" s="64"/>
      <c r="I5" s="65"/>
      <c r="J5" s="65" t="n">
        <v>1</v>
      </c>
      <c r="K5" s="65"/>
      <c r="L5" s="65"/>
      <c r="M5" s="65"/>
      <c r="N5" s="65"/>
      <c r="O5" s="66" t="n">
        <f aca="false">$D5*E5</f>
        <v>0</v>
      </c>
      <c r="P5" s="66" t="n">
        <f aca="false">$D5*F5</f>
        <v>0</v>
      </c>
      <c r="Q5" s="66" t="n">
        <f aca="false">$D5*G5</f>
        <v>0</v>
      </c>
      <c r="R5" s="66" t="n">
        <f aca="false">$D5*H5</f>
        <v>0</v>
      </c>
      <c r="S5" s="66" t="n">
        <f aca="false">$D5*I5</f>
        <v>0</v>
      </c>
      <c r="T5" s="66" t="n">
        <f aca="false">$D5*J5</f>
        <v>136.4</v>
      </c>
      <c r="U5" s="66" t="n">
        <f aca="false">$D5*K5</f>
        <v>0</v>
      </c>
      <c r="V5" s="66" t="n">
        <f aca="false">$D5*L5</f>
        <v>0</v>
      </c>
      <c r="W5" s="66" t="n">
        <f aca="false">$D5*M5</f>
        <v>0</v>
      </c>
      <c r="X5" s="92" t="n">
        <f aca="false">$D5*N5</f>
        <v>0</v>
      </c>
      <c r="Y5" s="67" t="n">
        <f aca="false">Z5/$Y$2</f>
        <v>0.0138014772842254</v>
      </c>
      <c r="Z5" s="66" t="n">
        <f aca="false">SUM(O5:X5)</f>
        <v>136.4</v>
      </c>
    </row>
    <row r="6" customFormat="false" ht="15" hidden="false" customHeight="false" outlineLevel="0" collapsed="false">
      <c r="A6" s="52" t="n">
        <v>3</v>
      </c>
      <c r="B6" s="53" t="s">
        <v>96</v>
      </c>
      <c r="C6" s="54" t="s">
        <v>97</v>
      </c>
      <c r="D6" s="55" t="n">
        <f aca="false">VLOOKUP(C6,'[1]PREÇO ATUAL'!$A$1:$D$1048576,4,0)</f>
        <v>71.2</v>
      </c>
      <c r="E6" s="56" t="n">
        <v>1</v>
      </c>
      <c r="F6" s="56" t="n">
        <v>1</v>
      </c>
      <c r="G6" s="56" t="n">
        <v>1</v>
      </c>
      <c r="H6" s="56" t="n">
        <v>1</v>
      </c>
      <c r="I6" s="57" t="n">
        <v>1</v>
      </c>
      <c r="J6" s="57" t="n">
        <v>1</v>
      </c>
      <c r="K6" s="57" t="n">
        <v>1</v>
      </c>
      <c r="L6" s="57" t="n">
        <v>1</v>
      </c>
      <c r="M6" s="57" t="n">
        <v>1</v>
      </c>
      <c r="N6" s="57" t="n">
        <v>1</v>
      </c>
      <c r="O6" s="58" t="n">
        <f aca="false">$D6*E6</f>
        <v>71.2</v>
      </c>
      <c r="P6" s="58" t="n">
        <f aca="false">$D6*F6</f>
        <v>71.2</v>
      </c>
      <c r="Q6" s="58" t="n">
        <f aca="false">$D6*G6</f>
        <v>71.2</v>
      </c>
      <c r="R6" s="58" t="n">
        <f aca="false">$D6*H6</f>
        <v>71.2</v>
      </c>
      <c r="S6" s="58" t="n">
        <f aca="false">$D6*I6</f>
        <v>71.2</v>
      </c>
      <c r="T6" s="58" t="n">
        <f aca="false">$D6*J6</f>
        <v>71.2</v>
      </c>
      <c r="U6" s="58" t="n">
        <f aca="false">$D6*K6</f>
        <v>71.2</v>
      </c>
      <c r="V6" s="58" t="n">
        <f aca="false">$D6*L6</f>
        <v>71.2</v>
      </c>
      <c r="W6" s="58" t="n">
        <f aca="false">$D6*M6</f>
        <v>71.2</v>
      </c>
      <c r="X6" s="91" t="n">
        <f aca="false">$D6*N6</f>
        <v>71.2</v>
      </c>
      <c r="Y6" s="59" t="n">
        <f aca="false">Z6/$Y$2</f>
        <v>0.0720429019528483</v>
      </c>
      <c r="Z6" s="58" t="n">
        <f aca="false">SUM(O6:X6)</f>
        <v>712</v>
      </c>
    </row>
    <row r="7" customFormat="false" ht="15" hidden="false" customHeight="false" outlineLevel="0" collapsed="false">
      <c r="A7" s="60" t="n">
        <v>4</v>
      </c>
      <c r="B7" s="61" t="s">
        <v>98</v>
      </c>
      <c r="C7" s="62" t="s">
        <v>51</v>
      </c>
      <c r="D7" s="63" t="n">
        <f aca="false">VLOOKUP(C7,'[1]PREÇO ATUAL'!$A$1:$D$1048576,4,0)</f>
        <v>35.9</v>
      </c>
      <c r="E7" s="64"/>
      <c r="F7" s="64" t="n">
        <v>1</v>
      </c>
      <c r="G7" s="64"/>
      <c r="H7" s="64" t="n">
        <v>1</v>
      </c>
      <c r="I7" s="65"/>
      <c r="J7" s="65" t="n">
        <v>1</v>
      </c>
      <c r="K7" s="65"/>
      <c r="L7" s="65" t="n">
        <v>1</v>
      </c>
      <c r="M7" s="65"/>
      <c r="N7" s="65" t="n">
        <v>1</v>
      </c>
      <c r="O7" s="66" t="n">
        <f aca="false">$D7*E7</f>
        <v>0</v>
      </c>
      <c r="P7" s="66" t="n">
        <f aca="false">$D7*F7</f>
        <v>35.9</v>
      </c>
      <c r="Q7" s="66" t="n">
        <f aca="false">$D7*G7</f>
        <v>0</v>
      </c>
      <c r="R7" s="66" t="n">
        <f aca="false">$D7*H7</f>
        <v>35.9</v>
      </c>
      <c r="S7" s="66" t="n">
        <f aca="false">$D7*I7</f>
        <v>0</v>
      </c>
      <c r="T7" s="66" t="n">
        <f aca="false">$D7*J7</f>
        <v>35.9</v>
      </c>
      <c r="U7" s="66" t="n">
        <f aca="false">$D7*K7</f>
        <v>0</v>
      </c>
      <c r="V7" s="66" t="n">
        <f aca="false">$D7*L7</f>
        <v>35.9</v>
      </c>
      <c r="W7" s="66" t="n">
        <f aca="false">$D7*M7</f>
        <v>0</v>
      </c>
      <c r="X7" s="92" t="n">
        <f aca="false">$D7*N7</f>
        <v>35.9</v>
      </c>
      <c r="Y7" s="67" t="n">
        <f aca="false">Z7/$Y$2</f>
        <v>0.0181625012647981</v>
      </c>
      <c r="Z7" s="66" t="n">
        <f aca="false">SUM(O7:X7)</f>
        <v>179.5</v>
      </c>
    </row>
    <row r="8" customFormat="false" ht="15" hidden="false" customHeight="false" outlineLevel="0" collapsed="false">
      <c r="A8" s="52" t="n">
        <v>5</v>
      </c>
      <c r="B8" s="53" t="s">
        <v>99</v>
      </c>
      <c r="C8" s="54" t="s">
        <v>100</v>
      </c>
      <c r="D8" s="55" t="n">
        <f aca="false">VLOOKUP(C8,'[1]PREÇO ATUAL'!$A$1:$D$1048576,4,0)</f>
        <v>83.06</v>
      </c>
      <c r="E8" s="56"/>
      <c r="F8" s="56" t="n">
        <v>1</v>
      </c>
      <c r="G8" s="56"/>
      <c r="H8" s="56" t="n">
        <v>1</v>
      </c>
      <c r="I8" s="57"/>
      <c r="J8" s="57" t="n">
        <v>1</v>
      </c>
      <c r="K8" s="57"/>
      <c r="L8" s="57" t="n">
        <v>1</v>
      </c>
      <c r="M8" s="57"/>
      <c r="N8" s="57" t="n">
        <v>1</v>
      </c>
      <c r="O8" s="58" t="n">
        <f aca="false">$D8*E8</f>
        <v>0</v>
      </c>
      <c r="P8" s="58" t="n">
        <f aca="false">$D8*F8</f>
        <v>83.06</v>
      </c>
      <c r="Q8" s="58" t="n">
        <f aca="false">$D8*G8</f>
        <v>0</v>
      </c>
      <c r="R8" s="58" t="n">
        <f aca="false">$D8*H8</f>
        <v>83.06</v>
      </c>
      <c r="S8" s="58" t="n">
        <f aca="false">$D8*I8</f>
        <v>0</v>
      </c>
      <c r="T8" s="58" t="n">
        <f aca="false">$D8*J8</f>
        <v>83.06</v>
      </c>
      <c r="U8" s="58" t="n">
        <f aca="false">$D8*K8</f>
        <v>0</v>
      </c>
      <c r="V8" s="58" t="n">
        <f aca="false">$D8*L8</f>
        <v>83.06</v>
      </c>
      <c r="W8" s="58" t="n">
        <f aca="false">$D8*M8</f>
        <v>0</v>
      </c>
      <c r="X8" s="91" t="n">
        <f aca="false">$D8*N8</f>
        <v>83.06</v>
      </c>
      <c r="Y8" s="59" t="n">
        <f aca="false">Z8/$Y$2</f>
        <v>0.0420216533441263</v>
      </c>
      <c r="Z8" s="58" t="n">
        <f aca="false">SUM(O8:X8)</f>
        <v>415.3</v>
      </c>
    </row>
    <row r="9" customFormat="false" ht="15" hidden="false" customHeight="false" outlineLevel="0" collapsed="false">
      <c r="A9" s="60" t="n">
        <v>6</v>
      </c>
      <c r="B9" s="61" t="s">
        <v>101</v>
      </c>
      <c r="C9" s="62" t="s">
        <v>102</v>
      </c>
      <c r="D9" s="63" t="n">
        <f aca="false">VLOOKUP(C9,'[1]PREÇO ATUAL'!$A$1:$D$1048576,4,0)</f>
        <v>139.9</v>
      </c>
      <c r="E9" s="64"/>
      <c r="F9" s="64"/>
      <c r="G9" s="64"/>
      <c r="H9" s="64"/>
      <c r="I9" s="65"/>
      <c r="J9" s="65" t="n">
        <v>1</v>
      </c>
      <c r="K9" s="65"/>
      <c r="L9" s="65"/>
      <c r="M9" s="65"/>
      <c r="N9" s="65"/>
      <c r="O9" s="66" t="n">
        <f aca="false">$D9*E9</f>
        <v>0</v>
      </c>
      <c r="P9" s="66" t="n">
        <f aca="false">$D9*F9</f>
        <v>0</v>
      </c>
      <c r="Q9" s="66" t="n">
        <f aca="false">$D9*G9</f>
        <v>0</v>
      </c>
      <c r="R9" s="66" t="n">
        <f aca="false">$D9*H9</f>
        <v>0</v>
      </c>
      <c r="S9" s="66" t="n">
        <f aca="false">$D9*I9</f>
        <v>0</v>
      </c>
      <c r="T9" s="66" t="n">
        <f aca="false">$D9*J9</f>
        <v>139.9</v>
      </c>
      <c r="U9" s="66" t="n">
        <f aca="false">$D9*K9</f>
        <v>0</v>
      </c>
      <c r="V9" s="66" t="n">
        <f aca="false">$D9*L9</f>
        <v>0</v>
      </c>
      <c r="W9" s="66" t="n">
        <f aca="false">$D9*M9</f>
        <v>0</v>
      </c>
      <c r="X9" s="92" t="n">
        <f aca="false">$D9*N9</f>
        <v>0</v>
      </c>
      <c r="Y9" s="67" t="n">
        <f aca="false">Z9/$Y$2</f>
        <v>0.0141556207629262</v>
      </c>
      <c r="Z9" s="66" t="n">
        <f aca="false">SUM(O9:X9)</f>
        <v>139.9</v>
      </c>
    </row>
    <row r="10" customFormat="false" ht="15" hidden="false" customHeight="false" outlineLevel="0" collapsed="false">
      <c r="A10" s="52" t="n">
        <v>7</v>
      </c>
      <c r="B10" s="53" t="s">
        <v>103</v>
      </c>
      <c r="C10" s="54" t="s">
        <v>104</v>
      </c>
      <c r="D10" s="55" t="n">
        <f aca="false">VLOOKUP(C10,'[1]PREÇO ATUAL'!$A$1:$D$1048576,4,0)</f>
        <v>25.55</v>
      </c>
      <c r="E10" s="56"/>
      <c r="F10" s="56"/>
      <c r="G10" s="56"/>
      <c r="H10" s="56"/>
      <c r="I10" s="57"/>
      <c r="J10" s="57" t="n">
        <v>1</v>
      </c>
      <c r="K10" s="57"/>
      <c r="L10" s="57"/>
      <c r="M10" s="57"/>
      <c r="N10" s="57"/>
      <c r="O10" s="58" t="n">
        <f aca="false">$D10*E10</f>
        <v>0</v>
      </c>
      <c r="P10" s="58" t="n">
        <f aca="false">$D10*F10</f>
        <v>0</v>
      </c>
      <c r="Q10" s="58" t="n">
        <f aca="false">$D10*G10</f>
        <v>0</v>
      </c>
      <c r="R10" s="58" t="n">
        <f aca="false">$D10*H10</f>
        <v>0</v>
      </c>
      <c r="S10" s="58" t="n">
        <f aca="false">$D10*I10</f>
        <v>0</v>
      </c>
      <c r="T10" s="58" t="n">
        <f aca="false">$D10*J10</f>
        <v>25.55</v>
      </c>
      <c r="U10" s="58" t="n">
        <f aca="false">$D10*K10</f>
        <v>0</v>
      </c>
      <c r="V10" s="58" t="n">
        <f aca="false">$D10*L10</f>
        <v>0</v>
      </c>
      <c r="W10" s="58" t="n">
        <f aca="false">$D10*M10</f>
        <v>0</v>
      </c>
      <c r="X10" s="91" t="n">
        <f aca="false">$D10*N10</f>
        <v>0</v>
      </c>
      <c r="Y10" s="59" t="n">
        <f aca="false">Z10/$Y$2</f>
        <v>0.00258524739451584</v>
      </c>
      <c r="Z10" s="58" t="n">
        <f aca="false">SUM(O10:X10)</f>
        <v>25.55</v>
      </c>
    </row>
    <row r="11" customFormat="false" ht="15" hidden="false" customHeight="false" outlineLevel="0" collapsed="false">
      <c r="A11" s="60" t="n">
        <v>8</v>
      </c>
      <c r="B11" s="61" t="s">
        <v>89</v>
      </c>
      <c r="C11" s="62" t="s">
        <v>90</v>
      </c>
      <c r="D11" s="63" t="n">
        <f aca="false">VLOOKUP(C11,'[1]PREÇO ATUAL'!$A$1:$D$1048576,4,0)</f>
        <v>75.7</v>
      </c>
      <c r="E11" s="70" t="n">
        <v>2.8</v>
      </c>
      <c r="F11" s="70" t="n">
        <v>2.8</v>
      </c>
      <c r="G11" s="70" t="n">
        <v>2.8</v>
      </c>
      <c r="H11" s="70" t="n">
        <v>2.8</v>
      </c>
      <c r="I11" s="70" t="n">
        <v>2.8</v>
      </c>
      <c r="J11" s="70" t="n">
        <v>2.8</v>
      </c>
      <c r="K11" s="70" t="n">
        <v>2.8</v>
      </c>
      <c r="L11" s="70" t="n">
        <v>2.8</v>
      </c>
      <c r="M11" s="70" t="n">
        <v>2.8</v>
      </c>
      <c r="N11" s="70" t="n">
        <v>2.8</v>
      </c>
      <c r="O11" s="66" t="n">
        <f aca="false">$D11*E11</f>
        <v>211.96</v>
      </c>
      <c r="P11" s="66" t="n">
        <f aca="false">$D11*F11</f>
        <v>211.96</v>
      </c>
      <c r="Q11" s="66" t="n">
        <f aca="false">$D11*G11</f>
        <v>211.96</v>
      </c>
      <c r="R11" s="66" t="n">
        <f aca="false">$D11*H11</f>
        <v>211.96</v>
      </c>
      <c r="S11" s="66" t="n">
        <f aca="false">$D11*I11</f>
        <v>211.96</v>
      </c>
      <c r="T11" s="66" t="n">
        <f aca="false">$D11*J11</f>
        <v>211.96</v>
      </c>
      <c r="U11" s="66" t="n">
        <f aca="false">$D11*K11</f>
        <v>211.96</v>
      </c>
      <c r="V11" s="66" t="n">
        <f aca="false">$D11*L11</f>
        <v>211.96</v>
      </c>
      <c r="W11" s="66" t="n">
        <f aca="false">$D11*M11</f>
        <v>211.96</v>
      </c>
      <c r="X11" s="92" t="n">
        <f aca="false">$D11*N11</f>
        <v>211.96</v>
      </c>
      <c r="Y11" s="67" t="n">
        <f aca="false">Z11/$Y$2</f>
        <v>0.214469290701204</v>
      </c>
      <c r="Z11" s="66" t="n">
        <f aca="false">SUM(O11:X11)</f>
        <v>2119.6</v>
      </c>
    </row>
    <row r="12" customFormat="false" ht="15" hidden="false" customHeight="false" outlineLevel="0" collapsed="false">
      <c r="A12" s="52" t="n">
        <v>9</v>
      </c>
      <c r="B12" s="53" t="s">
        <v>60</v>
      </c>
      <c r="C12" s="54" t="s">
        <v>61</v>
      </c>
      <c r="D12" s="55" t="n">
        <f aca="false">VLOOKUP(C12,'[1]PREÇO ATUAL'!$A$1:$D$1048576,4,0)</f>
        <v>33.6224930838505</v>
      </c>
      <c r="E12" s="56"/>
      <c r="F12" s="56"/>
      <c r="G12" s="56"/>
      <c r="H12" s="56"/>
      <c r="I12" s="57"/>
      <c r="J12" s="57"/>
      <c r="K12" s="57"/>
      <c r="L12" s="57"/>
      <c r="M12" s="57"/>
      <c r="N12" s="57"/>
      <c r="O12" s="58" t="n">
        <f aca="false">$D12*E12</f>
        <v>0</v>
      </c>
      <c r="P12" s="58" t="n">
        <f aca="false">$D12*F12</f>
        <v>0</v>
      </c>
      <c r="Q12" s="58" t="n">
        <f aca="false">$D12*G12</f>
        <v>0</v>
      </c>
      <c r="R12" s="58" t="n">
        <f aca="false">$D12*H12</f>
        <v>0</v>
      </c>
      <c r="S12" s="58" t="n">
        <f aca="false">$D12*I12</f>
        <v>0</v>
      </c>
      <c r="T12" s="58" t="n">
        <f aca="false">$D12*J12</f>
        <v>0</v>
      </c>
      <c r="U12" s="58" t="n">
        <f aca="false">$D12*K12</f>
        <v>0</v>
      </c>
      <c r="V12" s="58" t="n">
        <f aca="false">$D12*L12</f>
        <v>0</v>
      </c>
      <c r="W12" s="58" t="n">
        <f aca="false">$D12*M12</f>
        <v>0</v>
      </c>
      <c r="X12" s="91" t="n">
        <f aca="false">$D12*N12</f>
        <v>0</v>
      </c>
      <c r="Y12" s="59" t="n">
        <f aca="false">Z12/$Y$2</f>
        <v>0</v>
      </c>
      <c r="Z12" s="58" t="n">
        <f aca="false">SUM(O12:X12)</f>
        <v>0</v>
      </c>
    </row>
    <row r="13" customFormat="false" ht="15" hidden="false" customHeight="false" outlineLevel="0" collapsed="false">
      <c r="A13" s="60" t="n">
        <v>10</v>
      </c>
      <c r="B13" s="61" t="s">
        <v>64</v>
      </c>
      <c r="C13" s="62" t="s">
        <v>65</v>
      </c>
      <c r="D13" s="63" t="n">
        <f aca="false">VLOOKUP(C13,'[1]PREÇO ATUAL'!$A$1:$D$1048576,4,0)</f>
        <v>342</v>
      </c>
      <c r="E13" s="82" t="n">
        <v>0.95</v>
      </c>
      <c r="F13" s="82" t="n">
        <v>1.2</v>
      </c>
      <c r="G13" s="82" t="n">
        <v>2.1</v>
      </c>
      <c r="H13" s="82" t="n">
        <v>1.5</v>
      </c>
      <c r="I13" s="83" t="n">
        <v>1.15</v>
      </c>
      <c r="J13" s="83" t="n">
        <v>4.4</v>
      </c>
      <c r="K13" s="83" t="n">
        <v>0.95</v>
      </c>
      <c r="L13" s="83" t="n">
        <v>1.5</v>
      </c>
      <c r="M13" s="83" t="n">
        <v>2.1</v>
      </c>
      <c r="N13" s="83" t="n">
        <v>1.3</v>
      </c>
      <c r="O13" s="66" t="n">
        <f aca="false">D13*E13</f>
        <v>324.9</v>
      </c>
      <c r="P13" s="66" t="n">
        <f aca="false">$D13*F13</f>
        <v>410.4</v>
      </c>
      <c r="Q13" s="66" t="n">
        <f aca="false">$D13*G13</f>
        <v>718.2</v>
      </c>
      <c r="R13" s="66" t="n">
        <f aca="false">$D13*H13</f>
        <v>513</v>
      </c>
      <c r="S13" s="66" t="n">
        <f aca="false">$D13*I13</f>
        <v>393.3</v>
      </c>
      <c r="T13" s="66" t="n">
        <f aca="false">$D13*J13</f>
        <v>1504.8</v>
      </c>
      <c r="U13" s="66" t="n">
        <f aca="false">$D13*K13</f>
        <v>324.9</v>
      </c>
      <c r="V13" s="66" t="n">
        <f aca="false">$D13*L13</f>
        <v>513</v>
      </c>
      <c r="W13" s="66" t="n">
        <f aca="false">$D13*M13</f>
        <v>718.2</v>
      </c>
      <c r="X13" s="92" t="n">
        <f aca="false">$D13*N13</f>
        <v>444.6</v>
      </c>
      <c r="Y13" s="67" t="n">
        <f aca="false">Z13/$Y$2</f>
        <v>0.5934736416068</v>
      </c>
      <c r="Z13" s="66" t="n">
        <f aca="false">SUM(O13:X13)</f>
        <v>5865.3</v>
      </c>
    </row>
    <row r="14" customFormat="false" ht="15.75" hidden="false" customHeight="true" outlineLevel="0" collapsed="false">
      <c r="H14" s="93"/>
    </row>
    <row r="15" customFormat="false" ht="15.75" hidden="false" customHeight="true" outlineLevel="0" collapsed="false">
      <c r="H15" s="93"/>
      <c r="L15" s="93"/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mergeCells count="5">
    <mergeCell ref="A1:D2"/>
    <mergeCell ref="E1:N2"/>
    <mergeCell ref="O1:X1"/>
    <mergeCell ref="Y1:Z1"/>
    <mergeCell ref="Y2:Z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Z9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C4" activeCellId="0" sqref="C4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48.15"/>
    <col collapsed="false" customWidth="true" hidden="false" outlineLevel="0" max="3" min="3" style="0" width="16.87"/>
    <col collapsed="false" customWidth="true" hidden="false" outlineLevel="0" max="4" min="4" style="0" width="7.87"/>
    <col collapsed="false" customWidth="true" hidden="false" outlineLevel="0" max="5" min="5" style="0" width="5.7"/>
    <col collapsed="false" customWidth="true" hidden="false" outlineLevel="0" max="14" min="6" style="0" width="5.43"/>
    <col collapsed="false" customWidth="true" hidden="false" outlineLevel="0" max="16" min="15" style="0" width="14.57"/>
    <col collapsed="false" customWidth="true" hidden="false" outlineLevel="0" max="17" min="17" style="0" width="13.43"/>
    <col collapsed="false" customWidth="true" hidden="false" outlineLevel="0" max="18" min="18" style="0" width="15.42"/>
    <col collapsed="false" customWidth="true" hidden="false" outlineLevel="0" max="19" min="19" style="0" width="13.43"/>
    <col collapsed="false" customWidth="true" hidden="false" outlineLevel="0" max="20" min="20" style="0" width="16.87"/>
    <col collapsed="false" customWidth="true" hidden="false" outlineLevel="0" max="21" min="21" style="0" width="14.57"/>
    <col collapsed="false" customWidth="true" hidden="false" outlineLevel="0" max="22" min="22" style="0" width="16.87"/>
    <col collapsed="false" customWidth="true" hidden="false" outlineLevel="0" max="24" min="23" style="0" width="14.57"/>
    <col collapsed="false" customWidth="true" hidden="false" outlineLevel="0" max="25" min="25" style="0" width="7.57"/>
    <col collapsed="false" customWidth="true" hidden="false" outlineLevel="0" max="26" min="26" style="0" width="15.57"/>
  </cols>
  <sheetData>
    <row r="1" customFormat="false" ht="15" hidden="false" customHeight="false" outlineLevel="0" collapsed="false">
      <c r="A1" s="74" t="s">
        <v>105</v>
      </c>
      <c r="B1" s="74"/>
      <c r="C1" s="74"/>
      <c r="D1" s="74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90" t="s">
        <v>30</v>
      </c>
      <c r="P1" s="90"/>
      <c r="Q1" s="90"/>
      <c r="R1" s="90"/>
      <c r="S1" s="90"/>
      <c r="T1" s="90"/>
      <c r="U1" s="90"/>
      <c r="V1" s="90"/>
      <c r="W1" s="90"/>
      <c r="X1" s="90"/>
      <c r="Y1" s="37" t="s">
        <v>31</v>
      </c>
      <c r="Z1" s="37"/>
    </row>
    <row r="2" customFormat="false" ht="15" hidden="false" customHeight="false" outlineLevel="0" collapsed="false">
      <c r="A2" s="74"/>
      <c r="B2" s="74"/>
      <c r="C2" s="74"/>
      <c r="D2" s="74"/>
      <c r="E2" s="86"/>
      <c r="F2" s="86"/>
      <c r="G2" s="86"/>
      <c r="H2" s="86"/>
      <c r="I2" s="86"/>
      <c r="J2" s="86"/>
      <c r="K2" s="86"/>
      <c r="L2" s="86"/>
      <c r="M2" s="86"/>
      <c r="N2" s="86"/>
      <c r="O2" s="43" t="n">
        <f aca="false">MROUND(SUM(O4:O11),1)</f>
        <v>577</v>
      </c>
      <c r="P2" s="43" t="n">
        <f aca="false">MROUND(SUM(P4:P11),1)</f>
        <v>788</v>
      </c>
      <c r="Q2" s="43" t="n">
        <f aca="false">MROUND(SUM(Q4:Q11),1)</f>
        <v>611</v>
      </c>
      <c r="R2" s="43" t="n">
        <f aca="false">MROUND(SUM(R4:R11),1)</f>
        <v>1419</v>
      </c>
      <c r="S2" s="43" t="n">
        <f aca="false">MROUND(SUM(S4:S11),1)</f>
        <v>628</v>
      </c>
      <c r="T2" s="43" t="n">
        <f aca="false">MROUND(SUM(T4:T11),1)</f>
        <v>1171</v>
      </c>
      <c r="U2" s="43" t="n">
        <f aca="false">MROUND(SUM(U4:U11),1)</f>
        <v>577</v>
      </c>
      <c r="V2" s="43" t="n">
        <f aca="false">MROUND(SUM(V4:V11),1)</f>
        <v>1419</v>
      </c>
      <c r="W2" s="43" t="n">
        <f aca="false">MROUND(SUM(W4:W11),1)</f>
        <v>611</v>
      </c>
      <c r="X2" s="43" t="n">
        <f aca="false">MROUND(SUM(X4:X11),1)</f>
        <v>840</v>
      </c>
      <c r="Y2" s="44" t="n">
        <f aca="false">SUM(O2:X2)</f>
        <v>8641</v>
      </c>
      <c r="Z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n">
        <v>10000</v>
      </c>
      <c r="P3" s="48" t="n">
        <v>20000</v>
      </c>
      <c r="Q3" s="48" t="n">
        <v>30000</v>
      </c>
      <c r="R3" s="48" t="n">
        <v>40000</v>
      </c>
      <c r="S3" s="48" t="n">
        <v>50000</v>
      </c>
      <c r="T3" s="48" t="n">
        <v>60000</v>
      </c>
      <c r="U3" s="48" t="n">
        <v>70000</v>
      </c>
      <c r="V3" s="48" t="n">
        <v>80000</v>
      </c>
      <c r="W3" s="48" t="n">
        <v>90000</v>
      </c>
      <c r="X3" s="48" t="n">
        <v>100000</v>
      </c>
      <c r="Y3" s="51" t="s">
        <v>46</v>
      </c>
      <c r="Z3" s="45" t="s">
        <v>47</v>
      </c>
    </row>
    <row r="4" customFormat="false" ht="15" hidden="false" customHeight="false" outlineLevel="0" collapsed="false">
      <c r="A4" s="52" t="n">
        <v>1</v>
      </c>
      <c r="B4" s="53" t="s">
        <v>48</v>
      </c>
      <c r="C4" s="54" t="s">
        <v>49</v>
      </c>
      <c r="D4" s="55" t="n">
        <f aca="false">VLOOKUP(C4,'[1]PREÇO ATUAL'!$A$1:$D$1048576,4,0)</f>
        <v>79.9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7" t="n">
        <v>1</v>
      </c>
      <c r="O4" s="58" t="n">
        <f aca="false">$D4*E4</f>
        <v>79.9</v>
      </c>
      <c r="P4" s="58" t="n">
        <f aca="false">$D4*F4</f>
        <v>79.9</v>
      </c>
      <c r="Q4" s="58" t="n">
        <f aca="false">$D4*G4</f>
        <v>79.9</v>
      </c>
      <c r="R4" s="58" t="n">
        <f aca="false">$D4*H4</f>
        <v>79.9</v>
      </c>
      <c r="S4" s="58" t="n">
        <f aca="false">$D4*I4</f>
        <v>79.9</v>
      </c>
      <c r="T4" s="58" t="n">
        <f aca="false">$D4*J4</f>
        <v>79.9</v>
      </c>
      <c r="U4" s="58" t="n">
        <f aca="false">$D4*K4</f>
        <v>79.9</v>
      </c>
      <c r="V4" s="58" t="n">
        <f aca="false">$D4*L4</f>
        <v>79.9</v>
      </c>
      <c r="W4" s="58" t="n">
        <f aca="false">$D4*M4</f>
        <v>79.9</v>
      </c>
      <c r="X4" s="58" t="n">
        <f aca="false">$D4*N4</f>
        <v>79.9</v>
      </c>
      <c r="Y4" s="59" t="n">
        <f aca="false">Z4/$Y$2</f>
        <v>0.0924661497511862</v>
      </c>
      <c r="Z4" s="58" t="n">
        <f aca="false">SUM(O4:X4)</f>
        <v>799</v>
      </c>
    </row>
    <row r="5" customFormat="false" ht="15" hidden="false" customHeight="false" outlineLevel="0" collapsed="false">
      <c r="A5" s="60" t="n">
        <v>2</v>
      </c>
      <c r="B5" s="61" t="s">
        <v>50</v>
      </c>
      <c r="C5" s="62" t="s">
        <v>51</v>
      </c>
      <c r="D5" s="63" t="n">
        <f aca="false">VLOOKUP(C5,'[1]PREÇO ATUAL'!$A$1:$D$1048576,4,0)</f>
        <v>35.9</v>
      </c>
      <c r="E5" s="64"/>
      <c r="F5" s="64" t="n">
        <v>1</v>
      </c>
      <c r="G5" s="64"/>
      <c r="H5" s="64" t="n">
        <v>1</v>
      </c>
      <c r="I5" s="65"/>
      <c r="J5" s="65" t="n">
        <v>1</v>
      </c>
      <c r="K5" s="65"/>
      <c r="L5" s="65" t="n">
        <v>1</v>
      </c>
      <c r="M5" s="65"/>
      <c r="N5" s="65" t="n">
        <v>1</v>
      </c>
      <c r="O5" s="66" t="n">
        <f aca="false">$D5*E5</f>
        <v>0</v>
      </c>
      <c r="P5" s="66" t="n">
        <f aca="false">$D5*F5</f>
        <v>35.9</v>
      </c>
      <c r="Q5" s="66" t="n">
        <f aca="false">$D5*G5</f>
        <v>0</v>
      </c>
      <c r="R5" s="66" t="n">
        <f aca="false">$D5*H5</f>
        <v>35.9</v>
      </c>
      <c r="S5" s="66" t="n">
        <f aca="false">$D5*I5</f>
        <v>0</v>
      </c>
      <c r="T5" s="66" t="n">
        <f aca="false">$D5*J5</f>
        <v>35.9</v>
      </c>
      <c r="U5" s="66" t="n">
        <f aca="false">$D5*K5</f>
        <v>0</v>
      </c>
      <c r="V5" s="66" t="n">
        <f aca="false">$D5*L5</f>
        <v>35.9</v>
      </c>
      <c r="W5" s="66" t="n">
        <f aca="false">$D5*M5</f>
        <v>0</v>
      </c>
      <c r="X5" s="66" t="n">
        <f aca="false">$D5*N5</f>
        <v>35.9</v>
      </c>
      <c r="Y5" s="67" t="n">
        <f aca="false">Z5/$Y$2</f>
        <v>0.0207730586737646</v>
      </c>
      <c r="Z5" s="66" t="n">
        <f aca="false">SUM(O5:X5)</f>
        <v>179.5</v>
      </c>
    </row>
    <row r="6" customFormat="false" ht="15.75" hidden="false" customHeight="true" outlineLevel="0" collapsed="false">
      <c r="A6" s="52" t="n">
        <v>3</v>
      </c>
      <c r="B6" s="53" t="s">
        <v>52</v>
      </c>
      <c r="C6" s="54" t="s">
        <v>53</v>
      </c>
      <c r="D6" s="55" t="n">
        <f aca="false">VLOOKUP(C6,'[1]PREÇO ATUAL'!$A$1:$D$1048576,4,0)</f>
        <v>89.9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57" t="n">
        <v>1</v>
      </c>
      <c r="O6" s="58" t="n">
        <f aca="false">$D6*E6</f>
        <v>0</v>
      </c>
      <c r="P6" s="58" t="n">
        <f aca="false">$D6*F6</f>
        <v>89.9</v>
      </c>
      <c r="Q6" s="58" t="n">
        <f aca="false">$D6*G6</f>
        <v>0</v>
      </c>
      <c r="R6" s="58" t="n">
        <f aca="false">$D6*H6</f>
        <v>89.9</v>
      </c>
      <c r="S6" s="58" t="n">
        <f aca="false">$D6*I6</f>
        <v>0</v>
      </c>
      <c r="T6" s="58" t="n">
        <f aca="false">$D6*J6</f>
        <v>89.9</v>
      </c>
      <c r="U6" s="58" t="n">
        <f aca="false">$D6*K6</f>
        <v>0</v>
      </c>
      <c r="V6" s="58" t="n">
        <f aca="false">$D6*L6</f>
        <v>89.9</v>
      </c>
      <c r="W6" s="58" t="n">
        <f aca="false">$D6*M6</f>
        <v>0</v>
      </c>
      <c r="X6" s="58" t="n">
        <f aca="false">$D6*N6</f>
        <v>89.9</v>
      </c>
      <c r="Y6" s="59" t="n">
        <f aca="false">Z6/$Y$2</f>
        <v>0.0520194421941905</v>
      </c>
      <c r="Z6" s="58" t="n">
        <f aca="false">SUM(O6:X6)</f>
        <v>449.5</v>
      </c>
    </row>
    <row r="7" customFormat="false" ht="15.75" hidden="false" customHeight="true" outlineLevel="0" collapsed="false">
      <c r="A7" s="60" t="n">
        <v>4</v>
      </c>
      <c r="B7" s="61" t="s">
        <v>106</v>
      </c>
      <c r="C7" s="62" t="s">
        <v>55</v>
      </c>
      <c r="D7" s="63" t="n">
        <f aca="false">VLOOKUP(C7,'[1]PREÇO ATUAL'!$A$1:$D$1048576,4,0)</f>
        <v>175.9</v>
      </c>
      <c r="E7" s="64"/>
      <c r="F7" s="64"/>
      <c r="G7" s="64"/>
      <c r="H7" s="64" t="n">
        <v>3</v>
      </c>
      <c r="I7" s="65"/>
      <c r="J7" s="65"/>
      <c r="K7" s="65"/>
      <c r="L7" s="65" t="n">
        <v>3</v>
      </c>
      <c r="M7" s="65"/>
      <c r="N7" s="65"/>
      <c r="O7" s="66" t="n">
        <f aca="false">$D7*E7</f>
        <v>0</v>
      </c>
      <c r="P7" s="66" t="n">
        <f aca="false">$D7*F7</f>
        <v>0</v>
      </c>
      <c r="Q7" s="66" t="n">
        <f aca="false">$D7*G7</f>
        <v>0</v>
      </c>
      <c r="R7" s="66" t="n">
        <f aca="false">$D7*H7</f>
        <v>527.7</v>
      </c>
      <c r="S7" s="66" t="n">
        <f aca="false">$D7*I7</f>
        <v>0</v>
      </c>
      <c r="T7" s="66" t="n">
        <f aca="false">$D7*J7</f>
        <v>0</v>
      </c>
      <c r="U7" s="66" t="n">
        <f aca="false">$D7*K7</f>
        <v>0</v>
      </c>
      <c r="V7" s="66" t="n">
        <f aca="false">$D7*L7</f>
        <v>527.7</v>
      </c>
      <c r="W7" s="66" t="n">
        <f aca="false">$D7*M7</f>
        <v>0</v>
      </c>
      <c r="X7" s="66" t="n">
        <f aca="false">$D7*N7</f>
        <v>0</v>
      </c>
      <c r="Y7" s="67" t="n">
        <f aca="false">Z7/$Y$2</f>
        <v>0.122138641360954</v>
      </c>
      <c r="Z7" s="66" t="n">
        <f aca="false">SUM(O7:X7)</f>
        <v>1055.4</v>
      </c>
    </row>
    <row r="8" customFormat="false" ht="15.75" hidden="false" customHeight="true" outlineLevel="0" collapsed="false">
      <c r="A8" s="52" t="n">
        <v>5</v>
      </c>
      <c r="B8" s="53" t="s">
        <v>56</v>
      </c>
      <c r="C8" s="54" t="s">
        <v>57</v>
      </c>
      <c r="D8" s="55" t="n">
        <f aca="false">VLOOKUP(C8,'[1]PREÇO ATUAL'!$A$1:$D$1048576,4,0)</f>
        <v>143.23</v>
      </c>
      <c r="E8" s="56"/>
      <c r="F8" s="56"/>
      <c r="G8" s="56"/>
      <c r="H8" s="56"/>
      <c r="I8" s="57"/>
      <c r="J8" s="57" t="n">
        <v>1</v>
      </c>
      <c r="K8" s="57"/>
      <c r="L8" s="57"/>
      <c r="M8" s="57"/>
      <c r="N8" s="57"/>
      <c r="O8" s="58" t="n">
        <f aca="false">$D8*E8</f>
        <v>0</v>
      </c>
      <c r="P8" s="58" t="n">
        <f aca="false">$D8*F8</f>
        <v>0</v>
      </c>
      <c r="Q8" s="58" t="n">
        <f aca="false">$D8*G8</f>
        <v>0</v>
      </c>
      <c r="R8" s="58" t="n">
        <f aca="false">$D8*H8</f>
        <v>0</v>
      </c>
      <c r="S8" s="58" t="n">
        <f aca="false">$D8*I8</f>
        <v>0</v>
      </c>
      <c r="T8" s="58" t="n">
        <f aca="false">$D8*J8</f>
        <v>143.23</v>
      </c>
      <c r="U8" s="58" t="n">
        <f aca="false">$D8*K8</f>
        <v>0</v>
      </c>
      <c r="V8" s="58" t="n">
        <f aca="false">$D8*L8</f>
        <v>0</v>
      </c>
      <c r="W8" s="58" t="n">
        <f aca="false">$D8*M8</f>
        <v>0</v>
      </c>
      <c r="X8" s="58" t="n">
        <f aca="false">$D8*N8</f>
        <v>0</v>
      </c>
      <c r="Y8" s="59" t="n">
        <f aca="false">Z8/$Y$2</f>
        <v>0.0165756278208541</v>
      </c>
      <c r="Z8" s="58" t="n">
        <f aca="false">SUM(O8:X8)</f>
        <v>143.23</v>
      </c>
    </row>
    <row r="9" customFormat="false" ht="15.75" hidden="false" customHeight="true" outlineLevel="0" collapsed="false">
      <c r="A9" s="60" t="n">
        <v>6</v>
      </c>
      <c r="B9" s="61" t="s">
        <v>60</v>
      </c>
      <c r="C9" s="62" t="s">
        <v>61</v>
      </c>
      <c r="D9" s="63" t="n">
        <f aca="false">VLOOKUP(C9,'[1]PREÇO ATUAL'!$A$1:$D$1048576,4,0)</f>
        <v>33.6224930838505</v>
      </c>
      <c r="E9" s="64"/>
      <c r="F9" s="64"/>
      <c r="G9" s="64"/>
      <c r="H9" s="64"/>
      <c r="I9" s="65"/>
      <c r="J9" s="65"/>
      <c r="K9" s="65"/>
      <c r="L9" s="65"/>
      <c r="M9" s="65"/>
      <c r="N9" s="65"/>
      <c r="O9" s="66" t="n">
        <f aca="false">$D9*E9</f>
        <v>0</v>
      </c>
      <c r="P9" s="66" t="n">
        <f aca="false">$D9*F9</f>
        <v>0</v>
      </c>
      <c r="Q9" s="66" t="n">
        <f aca="false">$D9*G9</f>
        <v>0</v>
      </c>
      <c r="R9" s="66" t="n">
        <f aca="false">$D9*H9</f>
        <v>0</v>
      </c>
      <c r="S9" s="66" t="n">
        <f aca="false">$D9*I9</f>
        <v>0</v>
      </c>
      <c r="T9" s="66" t="n">
        <f aca="false">$D9*J9</f>
        <v>0</v>
      </c>
      <c r="U9" s="66" t="n">
        <f aca="false">$D9*K9</f>
        <v>0</v>
      </c>
      <c r="V9" s="66" t="n">
        <f aca="false">$D9*L9</f>
        <v>0</v>
      </c>
      <c r="W9" s="66" t="n">
        <f aca="false">$D9*M9</f>
        <v>0</v>
      </c>
      <c r="X9" s="66" t="n">
        <f aca="false">$D9*N9</f>
        <v>0</v>
      </c>
      <c r="Y9" s="67" t="n">
        <f aca="false">Z9/$Y$2</f>
        <v>0</v>
      </c>
      <c r="Z9" s="66" t="n">
        <f aca="false">SUM(O9:X9)</f>
        <v>0</v>
      </c>
    </row>
    <row r="10" customFormat="false" ht="15.75" hidden="false" customHeight="true" outlineLevel="0" collapsed="false">
      <c r="A10" s="52" t="n">
        <v>7</v>
      </c>
      <c r="B10" s="53" t="s">
        <v>62</v>
      </c>
      <c r="C10" s="54" t="s">
        <v>63</v>
      </c>
      <c r="D10" s="55" t="n">
        <f aca="false">VLOOKUP(C10,'[1]PREÇO ATUAL'!$A$1:$D$1048576,4,0)</f>
        <v>81.26</v>
      </c>
      <c r="E10" s="69" t="n">
        <v>2.54</v>
      </c>
      <c r="F10" s="69" t="n">
        <v>2.54</v>
      </c>
      <c r="G10" s="69" t="n">
        <v>2.54</v>
      </c>
      <c r="H10" s="69" t="n">
        <v>2.54</v>
      </c>
      <c r="I10" s="55" t="n">
        <v>2.54</v>
      </c>
      <c r="J10" s="55" t="n">
        <v>2.54</v>
      </c>
      <c r="K10" s="55" t="n">
        <v>2.54</v>
      </c>
      <c r="L10" s="55" t="n">
        <v>2.54</v>
      </c>
      <c r="M10" s="55" t="n">
        <v>2.54</v>
      </c>
      <c r="N10" s="55" t="n">
        <v>2.54</v>
      </c>
      <c r="O10" s="58" t="n">
        <f aca="false">$D10*E10</f>
        <v>206.4004</v>
      </c>
      <c r="P10" s="58" t="n">
        <f aca="false">$D10*F10</f>
        <v>206.4004</v>
      </c>
      <c r="Q10" s="58" t="n">
        <f aca="false">$D10*G10</f>
        <v>206.4004</v>
      </c>
      <c r="R10" s="58" t="n">
        <f aca="false">$D10*H10</f>
        <v>206.4004</v>
      </c>
      <c r="S10" s="58" t="n">
        <f aca="false">$D10*I10</f>
        <v>206.4004</v>
      </c>
      <c r="T10" s="58" t="n">
        <f aca="false">$D10*J10</f>
        <v>206.4004</v>
      </c>
      <c r="U10" s="58" t="n">
        <f aca="false">$D10*K10</f>
        <v>206.4004</v>
      </c>
      <c r="V10" s="58" t="n">
        <f aca="false">$D10*L10</f>
        <v>206.4004</v>
      </c>
      <c r="W10" s="58" t="n">
        <f aca="false">$D10*M10</f>
        <v>206.4004</v>
      </c>
      <c r="X10" s="58" t="n">
        <f aca="false">$D10*N10</f>
        <v>206.4004</v>
      </c>
      <c r="Y10" s="59" t="n">
        <f aca="false">Z10/$Y$2</f>
        <v>0.238861705821086</v>
      </c>
      <c r="Z10" s="58" t="n">
        <f aca="false">SUM(O10:X10)</f>
        <v>2064.004</v>
      </c>
    </row>
    <row r="11" customFormat="false" ht="15.75" hidden="false" customHeight="true" outlineLevel="0" collapsed="false">
      <c r="A11" s="60" t="n">
        <v>8</v>
      </c>
      <c r="B11" s="61" t="s">
        <v>64</v>
      </c>
      <c r="C11" s="62" t="s">
        <v>65</v>
      </c>
      <c r="D11" s="63" t="n">
        <f aca="false">VLOOKUP(C11,'[1]PREÇO ATUAL'!$A$1:$D$1048576,4,0)</f>
        <v>342</v>
      </c>
      <c r="E11" s="70" t="n">
        <v>0.85</v>
      </c>
      <c r="F11" s="70" t="n">
        <v>1.1</v>
      </c>
      <c r="G11" s="70" t="n">
        <v>0.95</v>
      </c>
      <c r="H11" s="70" t="n">
        <v>1.4</v>
      </c>
      <c r="I11" s="63" t="n">
        <v>1</v>
      </c>
      <c r="J11" s="63" t="n">
        <v>1.8</v>
      </c>
      <c r="K11" s="63" t="n">
        <v>0.85</v>
      </c>
      <c r="L11" s="63" t="n">
        <v>1.4</v>
      </c>
      <c r="M11" s="63" t="n">
        <v>0.95</v>
      </c>
      <c r="N11" s="63" t="n">
        <v>1.25</v>
      </c>
      <c r="O11" s="66" t="n">
        <f aca="false">D11*E11</f>
        <v>290.7</v>
      </c>
      <c r="P11" s="66" t="n">
        <f aca="false">$D11*F11</f>
        <v>376.2</v>
      </c>
      <c r="Q11" s="66" t="n">
        <f aca="false">$D11*G11</f>
        <v>324.9</v>
      </c>
      <c r="R11" s="66" t="n">
        <f aca="false">$D11*H11</f>
        <v>478.8</v>
      </c>
      <c r="S11" s="66" t="n">
        <f aca="false">$D11*I11</f>
        <v>342</v>
      </c>
      <c r="T11" s="66" t="n">
        <f aca="false">$D11*J11</f>
        <v>615.6</v>
      </c>
      <c r="U11" s="66" t="n">
        <f aca="false">$D11*K11</f>
        <v>290.7</v>
      </c>
      <c r="V11" s="66" t="n">
        <f aca="false">$D11*L11</f>
        <v>478.8</v>
      </c>
      <c r="W11" s="66" t="n">
        <f aca="false">$D11*M11</f>
        <v>324.9</v>
      </c>
      <c r="X11" s="66" t="n">
        <f aca="false">$D11*N11</f>
        <v>427.5</v>
      </c>
      <c r="Y11" s="67" t="n">
        <f aca="false">Z11/$Y$2</f>
        <v>0.457134590903831</v>
      </c>
      <c r="Z11" s="66" t="n">
        <f aca="false">SUM(O11:X11)</f>
        <v>3950.1</v>
      </c>
    </row>
    <row r="12" customFormat="false" ht="15.75" hidden="false" customHeight="true" outlineLevel="0" collapsed="false">
      <c r="H12" s="71"/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mergeCells count="5">
    <mergeCell ref="A1:D2"/>
    <mergeCell ref="E1:N2"/>
    <mergeCell ref="O1:X1"/>
    <mergeCell ref="Y1:Z1"/>
    <mergeCell ref="Y2:Z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Z9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C4" activeCellId="0" sqref="C4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48.15"/>
    <col collapsed="false" customWidth="true" hidden="false" outlineLevel="0" max="3" min="3" style="0" width="16.87"/>
    <col collapsed="false" customWidth="true" hidden="false" outlineLevel="0" max="4" min="4" style="0" width="7.87"/>
    <col collapsed="false" customWidth="true" hidden="false" outlineLevel="0" max="5" min="5" style="0" width="5.86"/>
    <col collapsed="false" customWidth="true" hidden="false" outlineLevel="0" max="14" min="6" style="0" width="5.43"/>
    <col collapsed="false" customWidth="true" hidden="false" outlineLevel="0" max="15" min="15" style="0" width="14.57"/>
    <col collapsed="false" customWidth="true" hidden="false" outlineLevel="0" max="17" min="16" style="0" width="13.43"/>
    <col collapsed="false" customWidth="true" hidden="false" outlineLevel="0" max="18" min="18" style="0" width="15.42"/>
    <col collapsed="false" customWidth="true" hidden="false" outlineLevel="0" max="19" min="19" style="0" width="13.43"/>
    <col collapsed="false" customWidth="true" hidden="false" outlineLevel="0" max="20" min="20" style="0" width="16.87"/>
    <col collapsed="false" customWidth="true" hidden="false" outlineLevel="0" max="21" min="21" style="0" width="14.57"/>
    <col collapsed="false" customWidth="true" hidden="false" outlineLevel="0" max="22" min="22" style="0" width="16.87"/>
    <col collapsed="false" customWidth="true" hidden="false" outlineLevel="0" max="24" min="23" style="0" width="14.57"/>
    <col collapsed="false" customWidth="true" hidden="false" outlineLevel="0" max="25" min="25" style="0" width="7.57"/>
    <col collapsed="false" customWidth="true" hidden="false" outlineLevel="0" max="26" min="26" style="0" width="15.57"/>
  </cols>
  <sheetData>
    <row r="1" customFormat="false" ht="15.75" hidden="false" customHeight="true" outlineLevel="0" collapsed="false">
      <c r="A1" s="74" t="s">
        <v>107</v>
      </c>
      <c r="B1" s="74"/>
      <c r="C1" s="74"/>
      <c r="D1" s="74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77" t="s">
        <v>30</v>
      </c>
      <c r="P1" s="77"/>
      <c r="Q1" s="77"/>
      <c r="R1" s="77"/>
      <c r="S1" s="77"/>
      <c r="T1" s="77"/>
      <c r="U1" s="77"/>
      <c r="V1" s="77"/>
      <c r="W1" s="77"/>
      <c r="X1" s="77"/>
      <c r="Y1" s="37" t="s">
        <v>31</v>
      </c>
      <c r="Z1" s="37"/>
    </row>
    <row r="2" customFormat="false" ht="15.75" hidden="false" customHeight="true" outlineLevel="0" collapsed="false">
      <c r="A2" s="74"/>
      <c r="B2" s="74"/>
      <c r="C2" s="74"/>
      <c r="D2" s="74"/>
      <c r="E2" s="86"/>
      <c r="F2" s="86"/>
      <c r="G2" s="86"/>
      <c r="H2" s="86"/>
      <c r="I2" s="86"/>
      <c r="J2" s="86"/>
      <c r="K2" s="86"/>
      <c r="L2" s="86"/>
      <c r="M2" s="86"/>
      <c r="N2" s="86"/>
      <c r="O2" s="43" t="n">
        <f aca="false">MROUND(SUM(O4:O11),1)</f>
        <v>644</v>
      </c>
      <c r="P2" s="43" t="n">
        <f aca="false">MROUND(SUM(P4:P11),1)</f>
        <v>855</v>
      </c>
      <c r="Q2" s="43" t="n">
        <f aca="false">MROUND(SUM(Q4:Q11),1)</f>
        <v>678</v>
      </c>
      <c r="R2" s="43" t="n">
        <f aca="false">MROUND(SUM(R4:R11),1)</f>
        <v>1661</v>
      </c>
      <c r="S2" s="43" t="n">
        <f aca="false">MROUND(SUM(S4:S11),1)</f>
        <v>695</v>
      </c>
      <c r="T2" s="43" t="n">
        <f aca="false">MROUND(SUM(T4:T11),1)</f>
        <v>1238</v>
      </c>
      <c r="U2" s="43" t="n">
        <f aca="false">MROUND(SUM(U4:U11),1)</f>
        <v>644</v>
      </c>
      <c r="V2" s="43" t="n">
        <f aca="false">MROUND(SUM(V4:V11),1)</f>
        <v>1661</v>
      </c>
      <c r="W2" s="43" t="n">
        <f aca="false">MROUND(SUM(W4:W11),1)</f>
        <v>678</v>
      </c>
      <c r="X2" s="43" t="n">
        <f aca="false">MROUND(SUM(X4:X11),1)</f>
        <v>906</v>
      </c>
      <c r="Y2" s="44" t="n">
        <f aca="false">SUM(O2:X2)</f>
        <v>9660</v>
      </c>
      <c r="Z2" s="44"/>
    </row>
    <row r="3" customFormat="false" ht="15.75" hidden="false" customHeight="tru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n">
        <v>10000</v>
      </c>
      <c r="P3" s="48" t="n">
        <v>20000</v>
      </c>
      <c r="Q3" s="48" t="n">
        <v>30000</v>
      </c>
      <c r="R3" s="48" t="n">
        <v>40000</v>
      </c>
      <c r="S3" s="48" t="n">
        <v>50000</v>
      </c>
      <c r="T3" s="48" t="n">
        <v>60000</v>
      </c>
      <c r="U3" s="48" t="n">
        <v>70000</v>
      </c>
      <c r="V3" s="48" t="n">
        <v>80000</v>
      </c>
      <c r="W3" s="48" t="n">
        <v>90000</v>
      </c>
      <c r="X3" s="48" t="n">
        <v>100000</v>
      </c>
      <c r="Y3" s="51" t="s">
        <v>46</v>
      </c>
      <c r="Z3" s="45" t="s">
        <v>47</v>
      </c>
    </row>
    <row r="4" customFormat="false" ht="15.75" hidden="false" customHeight="true" outlineLevel="0" collapsed="false">
      <c r="A4" s="52" t="n">
        <v>1</v>
      </c>
      <c r="B4" s="53" t="s">
        <v>48</v>
      </c>
      <c r="C4" s="54" t="s">
        <v>49</v>
      </c>
      <c r="D4" s="55" t="n">
        <f aca="false">VLOOKUP(C4,'[1]PREÇO ATUAL'!$A$1:$D$1048576,4,0)</f>
        <v>79.9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7" t="n">
        <v>1</v>
      </c>
      <c r="O4" s="58" t="n">
        <f aca="false">$D4*E4</f>
        <v>79.9</v>
      </c>
      <c r="P4" s="58" t="n">
        <f aca="false">$D4*F4</f>
        <v>79.9</v>
      </c>
      <c r="Q4" s="58" t="n">
        <f aca="false">$D4*G4</f>
        <v>79.9</v>
      </c>
      <c r="R4" s="58" t="n">
        <f aca="false">$D4*H4</f>
        <v>79.9</v>
      </c>
      <c r="S4" s="58" t="n">
        <f aca="false">$D4*I4</f>
        <v>79.9</v>
      </c>
      <c r="T4" s="58" t="n">
        <f aca="false">$D4*J4</f>
        <v>79.9</v>
      </c>
      <c r="U4" s="58" t="n">
        <f aca="false">$D4*K4</f>
        <v>79.9</v>
      </c>
      <c r="V4" s="58" t="n">
        <f aca="false">$D4*L4</f>
        <v>79.9</v>
      </c>
      <c r="W4" s="58" t="n">
        <f aca="false">$D4*M4</f>
        <v>79.9</v>
      </c>
      <c r="X4" s="58" t="n">
        <f aca="false">$D4*N4</f>
        <v>79.9</v>
      </c>
      <c r="Y4" s="59" t="n">
        <f aca="false">Z4/$Y$2</f>
        <v>0.082712215320911</v>
      </c>
      <c r="Z4" s="58" t="n">
        <f aca="false">SUM(O4:X4)</f>
        <v>799</v>
      </c>
    </row>
    <row r="5" customFormat="false" ht="15.75" hidden="false" customHeight="true" outlineLevel="0" collapsed="false">
      <c r="A5" s="60" t="n">
        <v>2</v>
      </c>
      <c r="B5" s="61" t="s">
        <v>50</v>
      </c>
      <c r="C5" s="62" t="s">
        <v>51</v>
      </c>
      <c r="D5" s="63" t="n">
        <f aca="false">VLOOKUP(C5,'[1]PREÇO ATUAL'!$A$1:$D$1048576,4,0)</f>
        <v>35.9</v>
      </c>
      <c r="E5" s="64"/>
      <c r="F5" s="64" t="n">
        <v>1</v>
      </c>
      <c r="G5" s="64"/>
      <c r="H5" s="64" t="n">
        <v>1</v>
      </c>
      <c r="I5" s="65"/>
      <c r="J5" s="65" t="n">
        <v>1</v>
      </c>
      <c r="K5" s="65"/>
      <c r="L5" s="65" t="n">
        <v>1</v>
      </c>
      <c r="M5" s="65"/>
      <c r="N5" s="65" t="n">
        <v>1</v>
      </c>
      <c r="O5" s="66" t="n">
        <f aca="false">$D5*E5</f>
        <v>0</v>
      </c>
      <c r="P5" s="66" t="n">
        <f aca="false">$D5*F5</f>
        <v>35.9</v>
      </c>
      <c r="Q5" s="66" t="n">
        <f aca="false">$D5*G5</f>
        <v>0</v>
      </c>
      <c r="R5" s="66" t="n">
        <f aca="false">$D5*H5</f>
        <v>35.9</v>
      </c>
      <c r="S5" s="66" t="n">
        <f aca="false">$D5*I5</f>
        <v>0</v>
      </c>
      <c r="T5" s="66" t="n">
        <f aca="false">$D5*J5</f>
        <v>35.9</v>
      </c>
      <c r="U5" s="66" t="n">
        <f aca="false">$D5*K5</f>
        <v>0</v>
      </c>
      <c r="V5" s="66" t="n">
        <f aca="false">$D5*L5</f>
        <v>35.9</v>
      </c>
      <c r="W5" s="66" t="n">
        <f aca="false">$D5*M5</f>
        <v>0</v>
      </c>
      <c r="X5" s="66" t="n">
        <f aca="false">$D5*N5</f>
        <v>35.9</v>
      </c>
      <c r="Y5" s="67" t="n">
        <f aca="false">Z5/$Y$2</f>
        <v>0.0185817805383023</v>
      </c>
      <c r="Z5" s="66" t="n">
        <f aca="false">SUM(O5:X5)</f>
        <v>179.5</v>
      </c>
    </row>
    <row r="6" customFormat="false" ht="15.75" hidden="false" customHeight="true" outlineLevel="0" collapsed="false">
      <c r="A6" s="52" t="n">
        <v>3</v>
      </c>
      <c r="B6" s="53" t="s">
        <v>52</v>
      </c>
      <c r="C6" s="54" t="s">
        <v>53</v>
      </c>
      <c r="D6" s="55" t="n">
        <f aca="false">VLOOKUP(C6,'[1]PREÇO ATUAL'!$A$1:$D$1048576,4,0)</f>
        <v>89.9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57" t="n">
        <v>1</v>
      </c>
      <c r="O6" s="58" t="n">
        <f aca="false">$D6*E6</f>
        <v>0</v>
      </c>
      <c r="P6" s="58" t="n">
        <f aca="false">$D6*F6</f>
        <v>89.9</v>
      </c>
      <c r="Q6" s="58" t="n">
        <f aca="false">$D6*G6</f>
        <v>0</v>
      </c>
      <c r="R6" s="58" t="n">
        <f aca="false">$D6*H6</f>
        <v>89.9</v>
      </c>
      <c r="S6" s="58" t="n">
        <f aca="false">$D6*I6</f>
        <v>0</v>
      </c>
      <c r="T6" s="58" t="n">
        <f aca="false">$D6*J6</f>
        <v>89.9</v>
      </c>
      <c r="U6" s="58" t="n">
        <f aca="false">$D6*K6</f>
        <v>0</v>
      </c>
      <c r="V6" s="58" t="n">
        <f aca="false">$D6*L6</f>
        <v>89.9</v>
      </c>
      <c r="W6" s="58" t="n">
        <f aca="false">$D6*M6</f>
        <v>0</v>
      </c>
      <c r="X6" s="58" t="n">
        <f aca="false">$D6*N6</f>
        <v>89.9</v>
      </c>
      <c r="Y6" s="59" t="n">
        <f aca="false">Z6/$Y$2</f>
        <v>0.0465320910973085</v>
      </c>
      <c r="Z6" s="58" t="n">
        <f aca="false">SUM(O6:X6)</f>
        <v>449.5</v>
      </c>
    </row>
    <row r="7" customFormat="false" ht="15.75" hidden="false" customHeight="true" outlineLevel="0" collapsed="false">
      <c r="A7" s="60" t="n">
        <v>4</v>
      </c>
      <c r="B7" s="61" t="s">
        <v>106</v>
      </c>
      <c r="C7" s="62" t="s">
        <v>55</v>
      </c>
      <c r="D7" s="63" t="n">
        <f aca="false">VLOOKUP(C7,'[1]PREÇO ATUAL'!$A$1:$D$1048576,4,0)</f>
        <v>175.9</v>
      </c>
      <c r="E7" s="64"/>
      <c r="F7" s="64"/>
      <c r="G7" s="64"/>
      <c r="H7" s="64" t="n">
        <v>4</v>
      </c>
      <c r="I7" s="65"/>
      <c r="J7" s="65"/>
      <c r="K7" s="65"/>
      <c r="L7" s="65" t="n">
        <v>4</v>
      </c>
      <c r="M7" s="65"/>
      <c r="N7" s="65"/>
      <c r="O7" s="66" t="n">
        <f aca="false">$D7*E7</f>
        <v>0</v>
      </c>
      <c r="P7" s="66" t="n">
        <f aca="false">$D7*F7</f>
        <v>0</v>
      </c>
      <c r="Q7" s="66" t="n">
        <f aca="false">$D7*G7</f>
        <v>0</v>
      </c>
      <c r="R7" s="66" t="n">
        <f aca="false">$D7*H7</f>
        <v>703.6</v>
      </c>
      <c r="S7" s="66" t="n">
        <f aca="false">$D7*I7</f>
        <v>0</v>
      </c>
      <c r="T7" s="66" t="n">
        <f aca="false">$D7*J7</f>
        <v>0</v>
      </c>
      <c r="U7" s="66" t="n">
        <f aca="false">$D7*K7</f>
        <v>0</v>
      </c>
      <c r="V7" s="66" t="n">
        <f aca="false">$D7*L7</f>
        <v>703.6</v>
      </c>
      <c r="W7" s="66" t="n">
        <f aca="false">$D7*M7</f>
        <v>0</v>
      </c>
      <c r="X7" s="66" t="n">
        <f aca="false">$D7*N7</f>
        <v>0</v>
      </c>
      <c r="Y7" s="67" t="n">
        <f aca="false">Z7/$Y$2</f>
        <v>0.145672877846791</v>
      </c>
      <c r="Z7" s="66" t="n">
        <f aca="false">SUM(O7:X7)</f>
        <v>1407.2</v>
      </c>
    </row>
    <row r="8" customFormat="false" ht="15.75" hidden="false" customHeight="true" outlineLevel="0" collapsed="false">
      <c r="A8" s="52" t="n">
        <v>5</v>
      </c>
      <c r="B8" s="53" t="s">
        <v>56</v>
      </c>
      <c r="C8" s="54" t="s">
        <v>57</v>
      </c>
      <c r="D8" s="55" t="n">
        <f aca="false">VLOOKUP(C8,'[1]PREÇO ATUAL'!$A$1:$D$1048576,4,0)</f>
        <v>143.23</v>
      </c>
      <c r="E8" s="56"/>
      <c r="F8" s="56"/>
      <c r="G8" s="56"/>
      <c r="H8" s="56"/>
      <c r="I8" s="57"/>
      <c r="J8" s="57" t="n">
        <v>1</v>
      </c>
      <c r="K8" s="57"/>
      <c r="L8" s="57"/>
      <c r="M8" s="57"/>
      <c r="N8" s="57"/>
      <c r="O8" s="58" t="n">
        <f aca="false">$D8*E8</f>
        <v>0</v>
      </c>
      <c r="P8" s="58" t="n">
        <f aca="false">$D8*F8</f>
        <v>0</v>
      </c>
      <c r="Q8" s="58" t="n">
        <f aca="false">$D8*G8</f>
        <v>0</v>
      </c>
      <c r="R8" s="58" t="n">
        <f aca="false">$D8*H8</f>
        <v>0</v>
      </c>
      <c r="S8" s="58" t="n">
        <f aca="false">$D8*I8</f>
        <v>0</v>
      </c>
      <c r="T8" s="58" t="n">
        <f aca="false">$D8*J8</f>
        <v>143.23</v>
      </c>
      <c r="U8" s="58" t="n">
        <f aca="false">$D8*K8</f>
        <v>0</v>
      </c>
      <c r="V8" s="58" t="n">
        <f aca="false">$D8*L8</f>
        <v>0</v>
      </c>
      <c r="W8" s="58" t="n">
        <f aca="false">$D8*M8</f>
        <v>0</v>
      </c>
      <c r="X8" s="58" t="n">
        <f aca="false">$D8*N8</f>
        <v>0</v>
      </c>
      <c r="Y8" s="59" t="n">
        <f aca="false">Z8/$Y$2</f>
        <v>0.0148271221532091</v>
      </c>
      <c r="Z8" s="58" t="n">
        <f aca="false">SUM(O8:X8)</f>
        <v>143.23</v>
      </c>
    </row>
    <row r="9" customFormat="false" ht="15.75" hidden="false" customHeight="true" outlineLevel="0" collapsed="false">
      <c r="A9" s="60" t="n">
        <v>6</v>
      </c>
      <c r="B9" s="61" t="s">
        <v>60</v>
      </c>
      <c r="C9" s="62" t="s">
        <v>61</v>
      </c>
      <c r="D9" s="63" t="n">
        <f aca="false">VLOOKUP(C9,'[1]PREÇO ATUAL'!$A$1:$D$1048576,4,0)</f>
        <v>33.6224930838505</v>
      </c>
      <c r="E9" s="64"/>
      <c r="F9" s="64"/>
      <c r="G9" s="64"/>
      <c r="H9" s="64"/>
      <c r="I9" s="65"/>
      <c r="J9" s="65"/>
      <c r="K9" s="65"/>
      <c r="L9" s="65"/>
      <c r="M9" s="65"/>
      <c r="N9" s="65"/>
      <c r="O9" s="66" t="n">
        <f aca="false">$D9*E9</f>
        <v>0</v>
      </c>
      <c r="P9" s="66" t="n">
        <f aca="false">$D9*F9</f>
        <v>0</v>
      </c>
      <c r="Q9" s="66" t="n">
        <f aca="false">$D9*G9</f>
        <v>0</v>
      </c>
      <c r="R9" s="66" t="n">
        <f aca="false">$D9*H9</f>
        <v>0</v>
      </c>
      <c r="S9" s="66" t="n">
        <f aca="false">$D9*I9</f>
        <v>0</v>
      </c>
      <c r="T9" s="66" t="n">
        <f aca="false">$D9*J9</f>
        <v>0</v>
      </c>
      <c r="U9" s="66" t="n">
        <f aca="false">$D9*K9</f>
        <v>0</v>
      </c>
      <c r="V9" s="66" t="n">
        <f aca="false">$D9*L9</f>
        <v>0</v>
      </c>
      <c r="W9" s="66" t="n">
        <f aca="false">$D9*M9</f>
        <v>0</v>
      </c>
      <c r="X9" s="66" t="n">
        <f aca="false">$D9*N9</f>
        <v>0</v>
      </c>
      <c r="Y9" s="67" t="n">
        <f aca="false">Z9/$Y$2</f>
        <v>0</v>
      </c>
      <c r="Z9" s="66" t="n">
        <f aca="false">SUM(O9:X9)</f>
        <v>0</v>
      </c>
    </row>
    <row r="10" customFormat="false" ht="15.75" hidden="false" customHeight="true" outlineLevel="0" collapsed="false">
      <c r="A10" s="52" t="n">
        <v>7</v>
      </c>
      <c r="B10" s="53" t="s">
        <v>62</v>
      </c>
      <c r="C10" s="54" t="s">
        <v>63</v>
      </c>
      <c r="D10" s="55" t="n">
        <f aca="false">VLOOKUP(C10,'[1]PREÇO ATUAL'!$A$1:$D$1048576,4,0)</f>
        <v>81.26</v>
      </c>
      <c r="E10" s="69" t="n">
        <v>3.36</v>
      </c>
      <c r="F10" s="69" t="n">
        <v>3.36</v>
      </c>
      <c r="G10" s="69" t="n">
        <v>3.36</v>
      </c>
      <c r="H10" s="69" t="n">
        <v>3.36</v>
      </c>
      <c r="I10" s="69" t="n">
        <v>3.36</v>
      </c>
      <c r="J10" s="69" t="n">
        <v>3.36</v>
      </c>
      <c r="K10" s="69" t="n">
        <v>3.36</v>
      </c>
      <c r="L10" s="69" t="n">
        <v>3.36</v>
      </c>
      <c r="M10" s="69" t="n">
        <v>3.36</v>
      </c>
      <c r="N10" s="69" t="n">
        <v>3.36</v>
      </c>
      <c r="O10" s="58" t="n">
        <f aca="false">$D10*E10</f>
        <v>273.0336</v>
      </c>
      <c r="P10" s="58" t="n">
        <f aca="false">$D10*F10</f>
        <v>273.0336</v>
      </c>
      <c r="Q10" s="58" t="n">
        <f aca="false">$D10*G10</f>
        <v>273.0336</v>
      </c>
      <c r="R10" s="58" t="n">
        <f aca="false">$D10*H10</f>
        <v>273.0336</v>
      </c>
      <c r="S10" s="58" t="n">
        <f aca="false">$D10*I10</f>
        <v>273.0336</v>
      </c>
      <c r="T10" s="58" t="n">
        <f aca="false">$D10*J10</f>
        <v>273.0336</v>
      </c>
      <c r="U10" s="58" t="n">
        <f aca="false">$D10*K10</f>
        <v>273.0336</v>
      </c>
      <c r="V10" s="58" t="n">
        <f aca="false">$D10*L10</f>
        <v>273.0336</v>
      </c>
      <c r="W10" s="58" t="n">
        <f aca="false">$D10*M10</f>
        <v>273.0336</v>
      </c>
      <c r="X10" s="58" t="n">
        <f aca="false">$D10*N10</f>
        <v>273.0336</v>
      </c>
      <c r="Y10" s="59" t="n">
        <f aca="false">Z10/$Y$2</f>
        <v>0.28264347826087</v>
      </c>
      <c r="Z10" s="58" t="n">
        <f aca="false">SUM(O10:X10)</f>
        <v>2730.336</v>
      </c>
    </row>
    <row r="11" customFormat="false" ht="15.75" hidden="false" customHeight="true" outlineLevel="0" collapsed="false">
      <c r="A11" s="60" t="n">
        <v>8</v>
      </c>
      <c r="B11" s="61" t="s">
        <v>64</v>
      </c>
      <c r="C11" s="62" t="s">
        <v>65</v>
      </c>
      <c r="D11" s="63" t="n">
        <f aca="false">VLOOKUP(C11,'[1]PREÇO ATUAL'!$A$1:$D$1048576,4,0)</f>
        <v>342</v>
      </c>
      <c r="E11" s="70" t="n">
        <v>0.85</v>
      </c>
      <c r="F11" s="70" t="n">
        <v>1.1</v>
      </c>
      <c r="G11" s="70" t="n">
        <v>0.95</v>
      </c>
      <c r="H11" s="70" t="n">
        <v>1.4</v>
      </c>
      <c r="I11" s="63" t="n">
        <v>1</v>
      </c>
      <c r="J11" s="63" t="n">
        <v>1.8</v>
      </c>
      <c r="K11" s="63" t="n">
        <v>0.85</v>
      </c>
      <c r="L11" s="63" t="n">
        <v>1.4</v>
      </c>
      <c r="M11" s="63" t="n">
        <v>0.95</v>
      </c>
      <c r="N11" s="63" t="n">
        <v>1.25</v>
      </c>
      <c r="O11" s="66" t="n">
        <f aca="false">D11*E11</f>
        <v>290.7</v>
      </c>
      <c r="P11" s="66" t="n">
        <f aca="false">$D11*F11</f>
        <v>376.2</v>
      </c>
      <c r="Q11" s="66" t="n">
        <f aca="false">$D11*G11</f>
        <v>324.9</v>
      </c>
      <c r="R11" s="66" t="n">
        <f aca="false">$D11*H11</f>
        <v>478.8</v>
      </c>
      <c r="S11" s="66" t="n">
        <f aca="false">$D11*I11</f>
        <v>342</v>
      </c>
      <c r="T11" s="66" t="n">
        <f aca="false">$D11*J11</f>
        <v>615.6</v>
      </c>
      <c r="U11" s="66" t="n">
        <f aca="false">$D11*K11</f>
        <v>290.7</v>
      </c>
      <c r="V11" s="66" t="n">
        <f aca="false">$D11*L11</f>
        <v>478.8</v>
      </c>
      <c r="W11" s="66" t="n">
        <f aca="false">$D11*M11</f>
        <v>324.9</v>
      </c>
      <c r="X11" s="66" t="n">
        <f aca="false">$D11*N11</f>
        <v>427.5</v>
      </c>
      <c r="Y11" s="67" t="n">
        <f aca="false">Z11/$Y$2</f>
        <v>0.408913043478261</v>
      </c>
      <c r="Z11" s="66" t="n">
        <f aca="false">SUM(O11:X11)</f>
        <v>3950.1</v>
      </c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</sheetData>
  <mergeCells count="5">
    <mergeCell ref="A1:D2"/>
    <mergeCell ref="E1:N2"/>
    <mergeCell ref="O1:X1"/>
    <mergeCell ref="Y1:Z1"/>
    <mergeCell ref="Y2:Z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F9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C4" activeCellId="0" sqref="C4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44.85"/>
    <col collapsed="false" customWidth="true" hidden="false" outlineLevel="0" max="3" min="3" style="0" width="16.87"/>
    <col collapsed="false" customWidth="true" hidden="false" outlineLevel="0" max="4" min="4" style="0" width="7.87"/>
    <col collapsed="false" customWidth="true" hidden="false" outlineLevel="0" max="9" min="5" style="0" width="5.43"/>
    <col collapsed="false" customWidth="true" hidden="false" outlineLevel="0" max="10" min="10" style="0" width="5.28"/>
    <col collapsed="false" customWidth="true" hidden="false" outlineLevel="0" max="14" min="11" style="0" width="5.43"/>
    <col collapsed="false" customWidth="true" hidden="false" outlineLevel="0" max="16" min="15" style="0" width="14.57"/>
    <col collapsed="false" customWidth="true" hidden="false" outlineLevel="0" max="17" min="17" style="0" width="15.71"/>
    <col collapsed="false" customWidth="true" hidden="false" outlineLevel="0" max="19" min="18" style="0" width="14.57"/>
    <col collapsed="false" customWidth="true" hidden="false" outlineLevel="0" max="20" min="20" style="0" width="16.87"/>
    <col collapsed="false" customWidth="true" hidden="false" outlineLevel="0" max="22" min="21" style="0" width="14.57"/>
    <col collapsed="false" customWidth="true" hidden="false" outlineLevel="0" max="23" min="23" style="0" width="15.71"/>
    <col collapsed="false" customWidth="true" hidden="false" outlineLevel="0" max="24" min="24" style="0" width="14.57"/>
    <col collapsed="false" customWidth="true" hidden="false" outlineLevel="0" max="25" min="25" style="0" width="8.41"/>
    <col collapsed="false" customWidth="true" hidden="false" outlineLevel="0" max="26" min="26" style="0" width="15.57"/>
    <col collapsed="false" customWidth="true" hidden="false" outlineLevel="0" max="27" min="27" style="0" width="11.71"/>
    <col collapsed="false" customWidth="true" hidden="false" outlineLevel="0" max="28" min="28" style="0" width="9.13"/>
    <col collapsed="false" customWidth="true" hidden="false" outlineLevel="0" max="29" min="29" style="0" width="11.42"/>
    <col collapsed="false" customWidth="true" hidden="false" outlineLevel="0" max="32" min="30" style="0" width="9.13"/>
  </cols>
  <sheetData>
    <row r="1" customFormat="false" ht="15" hidden="false" customHeight="false" outlineLevel="0" collapsed="false">
      <c r="A1" s="74" t="s">
        <v>108</v>
      </c>
      <c r="B1" s="74"/>
      <c r="C1" s="74"/>
      <c r="D1" s="74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77" t="s">
        <v>30</v>
      </c>
      <c r="P1" s="77"/>
      <c r="Q1" s="77"/>
      <c r="R1" s="77"/>
      <c r="S1" s="77"/>
      <c r="T1" s="77"/>
      <c r="U1" s="77"/>
      <c r="V1" s="77"/>
      <c r="W1" s="77"/>
      <c r="X1" s="77"/>
      <c r="Y1" s="37" t="s">
        <v>31</v>
      </c>
      <c r="Z1" s="37"/>
    </row>
    <row r="2" customFormat="false" ht="15" hidden="false" customHeight="false" outlineLevel="0" collapsed="false">
      <c r="A2" s="74"/>
      <c r="B2" s="74"/>
      <c r="C2" s="74"/>
      <c r="D2" s="74"/>
      <c r="E2" s="86"/>
      <c r="F2" s="86"/>
      <c r="G2" s="86"/>
      <c r="H2" s="86"/>
      <c r="I2" s="86"/>
      <c r="J2" s="86"/>
      <c r="K2" s="86"/>
      <c r="L2" s="86"/>
      <c r="M2" s="86"/>
      <c r="N2" s="86"/>
      <c r="O2" s="43" t="n">
        <f aca="false">MROUND(SUM(O4:O13),1)</f>
        <v>600</v>
      </c>
      <c r="P2" s="43" t="n">
        <f aca="false">MROUND(SUM(P4:P13),1)</f>
        <v>751</v>
      </c>
      <c r="Q2" s="43" t="n">
        <f aca="false">MROUND(SUM(Q4:Q13),1)</f>
        <v>1090</v>
      </c>
      <c r="R2" s="43" t="n">
        <f aca="false">MROUND(SUM(R4:R13),1)</f>
        <v>870</v>
      </c>
      <c r="S2" s="43" t="n">
        <f aca="false">MROUND(SUM(S4:S13),1)</f>
        <v>635</v>
      </c>
      <c r="T2" s="43" t="n">
        <f aca="false">MROUND(SUM(T4:T13),1)</f>
        <v>2244</v>
      </c>
      <c r="U2" s="43" t="n">
        <f aca="false">MROUND(SUM(U4:U13),1)</f>
        <v>600</v>
      </c>
      <c r="V2" s="43" t="n">
        <f aca="false">MROUND(SUM(V4:V13),1)</f>
        <v>870</v>
      </c>
      <c r="W2" s="43" t="n">
        <f aca="false">MROUND(SUM(W4:W13),1)</f>
        <v>1090</v>
      </c>
      <c r="X2" s="43" t="n">
        <f aca="false">MROUND(SUM(X4:X13),1)</f>
        <v>819</v>
      </c>
      <c r="Y2" s="44" t="n">
        <f aca="false">SUM(O2:X2)</f>
        <v>9569</v>
      </c>
      <c r="Z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n">
        <v>10000</v>
      </c>
      <c r="P3" s="48" t="n">
        <v>20000</v>
      </c>
      <c r="Q3" s="48" t="n">
        <v>30000</v>
      </c>
      <c r="R3" s="48" t="n">
        <v>40000</v>
      </c>
      <c r="S3" s="48" t="n">
        <v>50000</v>
      </c>
      <c r="T3" s="48" t="n">
        <v>60000</v>
      </c>
      <c r="U3" s="48" t="n">
        <v>70000</v>
      </c>
      <c r="V3" s="48" t="n">
        <v>80000</v>
      </c>
      <c r="W3" s="48" t="n">
        <v>90000</v>
      </c>
      <c r="X3" s="48" t="n">
        <v>100000</v>
      </c>
      <c r="Y3" s="51" t="s">
        <v>46</v>
      </c>
      <c r="Z3" s="45" t="s">
        <v>47</v>
      </c>
    </row>
    <row r="4" customFormat="false" ht="15" hidden="false" customHeight="false" outlineLevel="0" collapsed="false">
      <c r="A4" s="52" t="n">
        <v>1</v>
      </c>
      <c r="B4" s="53" t="s">
        <v>92</v>
      </c>
      <c r="C4" s="54" t="s">
        <v>93</v>
      </c>
      <c r="D4" s="55" t="n">
        <f aca="false">VLOOKUP(C4,'[1]PREÇO ATUAL'!$A$1:$D$1048576,4,0)</f>
        <v>24.15</v>
      </c>
      <c r="E4" s="56"/>
      <c r="F4" s="56"/>
      <c r="G4" s="56" t="n">
        <v>4</v>
      </c>
      <c r="H4" s="56"/>
      <c r="I4" s="57"/>
      <c r="J4" s="57" t="n">
        <v>4</v>
      </c>
      <c r="K4" s="57"/>
      <c r="L4" s="57"/>
      <c r="M4" s="57" t="n">
        <v>4</v>
      </c>
      <c r="N4" s="57"/>
      <c r="O4" s="58" t="n">
        <f aca="false">$D4*E4</f>
        <v>0</v>
      </c>
      <c r="P4" s="58" t="n">
        <f aca="false">$D4*F4</f>
        <v>0</v>
      </c>
      <c r="Q4" s="58" t="n">
        <f aca="false">$D4*G4</f>
        <v>96.6</v>
      </c>
      <c r="R4" s="58" t="n">
        <f aca="false">$D4*H4</f>
        <v>0</v>
      </c>
      <c r="S4" s="58" t="n">
        <f aca="false">$D4*I4</f>
        <v>0</v>
      </c>
      <c r="T4" s="58" t="n">
        <f aca="false">$D4*J4</f>
        <v>96.6</v>
      </c>
      <c r="U4" s="58" t="n">
        <f aca="false">$D4*K4</f>
        <v>0</v>
      </c>
      <c r="V4" s="58" t="n">
        <f aca="false">$D4*L4</f>
        <v>0</v>
      </c>
      <c r="W4" s="58" t="n">
        <f aca="false">$D4*M4</f>
        <v>96.6</v>
      </c>
      <c r="X4" s="58" t="n">
        <f aca="false">$D4*N4</f>
        <v>0</v>
      </c>
      <c r="Y4" s="94" t="n">
        <f aca="false">Z4/$Y$2</f>
        <v>0.0302852962692026</v>
      </c>
      <c r="Z4" s="58" t="n">
        <f aca="false">SUM(O4:X4)</f>
        <v>289.8</v>
      </c>
    </row>
    <row r="5" customFormat="false" ht="15" hidden="false" customHeight="false" outlineLevel="0" collapsed="false">
      <c r="A5" s="60" t="n">
        <v>2</v>
      </c>
      <c r="B5" s="61" t="s">
        <v>96</v>
      </c>
      <c r="C5" s="62" t="s">
        <v>97</v>
      </c>
      <c r="D5" s="63" t="n">
        <f aca="false">VLOOKUP(C5,'[1]PREÇO ATUAL'!$A$1:$D$1048576,4,0)</f>
        <v>71.2</v>
      </c>
      <c r="E5" s="64" t="n">
        <v>1</v>
      </c>
      <c r="F5" s="64" t="n">
        <v>1</v>
      </c>
      <c r="G5" s="64" t="n">
        <v>1</v>
      </c>
      <c r="H5" s="64" t="n">
        <v>1</v>
      </c>
      <c r="I5" s="65" t="n">
        <v>1</v>
      </c>
      <c r="J5" s="65" t="n">
        <v>1</v>
      </c>
      <c r="K5" s="65" t="n">
        <v>1</v>
      </c>
      <c r="L5" s="65" t="n">
        <v>1</v>
      </c>
      <c r="M5" s="65" t="n">
        <v>1</v>
      </c>
      <c r="N5" s="65" t="n">
        <v>1</v>
      </c>
      <c r="O5" s="66" t="n">
        <f aca="false">$D5*E5</f>
        <v>71.2</v>
      </c>
      <c r="P5" s="66" t="n">
        <f aca="false">$D5*F5</f>
        <v>71.2</v>
      </c>
      <c r="Q5" s="66" t="n">
        <f aca="false">$D5*G5</f>
        <v>71.2</v>
      </c>
      <c r="R5" s="66" t="n">
        <f aca="false">$D5*H5</f>
        <v>71.2</v>
      </c>
      <c r="S5" s="66" t="n">
        <f aca="false">$D5*I5</f>
        <v>71.2</v>
      </c>
      <c r="T5" s="66" t="n">
        <f aca="false">$D5*J5</f>
        <v>71.2</v>
      </c>
      <c r="U5" s="66" t="n">
        <f aca="false">$D5*K5</f>
        <v>71.2</v>
      </c>
      <c r="V5" s="66" t="n">
        <f aca="false">$D5*L5</f>
        <v>71.2</v>
      </c>
      <c r="W5" s="66" t="n">
        <f aca="false">$D5*M5</f>
        <v>71.2</v>
      </c>
      <c r="X5" s="66" t="n">
        <f aca="false">$D5*N5</f>
        <v>71.2</v>
      </c>
      <c r="Y5" s="95" t="n">
        <f aca="false">Z5/$Y$2</f>
        <v>0.0744069390740934</v>
      </c>
      <c r="Z5" s="66" t="n">
        <f aca="false">SUM(O5:X5)</f>
        <v>712</v>
      </c>
    </row>
    <row r="6" customFormat="false" ht="15" hidden="false" customHeight="false" outlineLevel="0" collapsed="false">
      <c r="A6" s="52" t="n">
        <v>3</v>
      </c>
      <c r="B6" s="53" t="s">
        <v>98</v>
      </c>
      <c r="C6" s="54" t="s">
        <v>51</v>
      </c>
      <c r="D6" s="55" t="n">
        <f aca="false">VLOOKUP(C6,'[1]PREÇO ATUAL'!$A$1:$D$1048576,4,0)</f>
        <v>35.9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57" t="n">
        <v>1</v>
      </c>
      <c r="O6" s="58" t="n">
        <f aca="false">$D6*E6</f>
        <v>0</v>
      </c>
      <c r="P6" s="58" t="n">
        <f aca="false">$D6*F6</f>
        <v>35.9</v>
      </c>
      <c r="Q6" s="58" t="n">
        <f aca="false">$D6*G6</f>
        <v>0</v>
      </c>
      <c r="R6" s="58" t="n">
        <f aca="false">$D6*H6</f>
        <v>35.9</v>
      </c>
      <c r="S6" s="58" t="n">
        <f aca="false">$D6*I6</f>
        <v>0</v>
      </c>
      <c r="T6" s="58" t="n">
        <f aca="false">$D6*J6</f>
        <v>35.9</v>
      </c>
      <c r="U6" s="58" t="n">
        <f aca="false">$D6*K6</f>
        <v>0</v>
      </c>
      <c r="V6" s="58" t="n">
        <f aca="false">$D6*L6</f>
        <v>35.9</v>
      </c>
      <c r="W6" s="58" t="n">
        <f aca="false">$D6*M6</f>
        <v>0</v>
      </c>
      <c r="X6" s="58" t="n">
        <f aca="false">$D6*N6</f>
        <v>35.9</v>
      </c>
      <c r="Y6" s="94" t="n">
        <f aca="false">Z6/$Y$2</f>
        <v>0.0187584909603929</v>
      </c>
      <c r="Z6" s="58" t="n">
        <f aca="false">SUM(O6:X6)</f>
        <v>179.5</v>
      </c>
    </row>
    <row r="7" customFormat="false" ht="15" hidden="false" customHeight="false" outlineLevel="0" collapsed="false">
      <c r="A7" s="60" t="n">
        <v>4</v>
      </c>
      <c r="B7" s="61" t="s">
        <v>99</v>
      </c>
      <c r="C7" s="62" t="s">
        <v>109</v>
      </c>
      <c r="D7" s="63" t="n">
        <f aca="false">VLOOKUP(C7,'[1]PREÇO ATUAL'!$A$1:$D$1048576,4,0)</f>
        <v>45.9</v>
      </c>
      <c r="E7" s="64"/>
      <c r="F7" s="64" t="n">
        <v>1</v>
      </c>
      <c r="G7" s="64"/>
      <c r="H7" s="64" t="n">
        <v>1</v>
      </c>
      <c r="I7" s="65"/>
      <c r="J7" s="65" t="n">
        <v>1</v>
      </c>
      <c r="K7" s="65"/>
      <c r="L7" s="65" t="n">
        <v>1</v>
      </c>
      <c r="M7" s="65"/>
      <c r="N7" s="65" t="n">
        <v>1</v>
      </c>
      <c r="O7" s="66" t="n">
        <f aca="false">$D7*E7</f>
        <v>0</v>
      </c>
      <c r="P7" s="66" t="n">
        <f aca="false">$D7*F7</f>
        <v>45.9</v>
      </c>
      <c r="Q7" s="66" t="n">
        <f aca="false">$D7*G7</f>
        <v>0</v>
      </c>
      <c r="R7" s="66" t="n">
        <f aca="false">$D7*H7</f>
        <v>45.9</v>
      </c>
      <c r="S7" s="66" t="n">
        <f aca="false">$D7*I7</f>
        <v>0</v>
      </c>
      <c r="T7" s="66" t="n">
        <f aca="false">$D7*J7</f>
        <v>45.9</v>
      </c>
      <c r="U7" s="66" t="n">
        <f aca="false">$D7*K7</f>
        <v>0</v>
      </c>
      <c r="V7" s="66" t="n">
        <f aca="false">$D7*L7</f>
        <v>45.9</v>
      </c>
      <c r="W7" s="66" t="n">
        <f aca="false">$D7*M7</f>
        <v>0</v>
      </c>
      <c r="X7" s="66" t="n">
        <f aca="false">$D7*N7</f>
        <v>45.9</v>
      </c>
      <c r="Y7" s="95" t="n">
        <f aca="false">Z7/$Y$2</f>
        <v>0.0239836973560456</v>
      </c>
      <c r="Z7" s="66" t="n">
        <f aca="false">SUM(O7:X7)</f>
        <v>229.5</v>
      </c>
    </row>
    <row r="8" customFormat="false" ht="15" hidden="false" customHeight="false" outlineLevel="0" collapsed="false">
      <c r="A8" s="52" t="n">
        <v>5</v>
      </c>
      <c r="B8" s="53" t="s">
        <v>101</v>
      </c>
      <c r="C8" s="54" t="s">
        <v>102</v>
      </c>
      <c r="D8" s="55" t="n">
        <f aca="false">VLOOKUP(C8,'[1]PREÇO ATUAL'!$A$1:$D$1048576,4,0)</f>
        <v>139.9</v>
      </c>
      <c r="E8" s="56"/>
      <c r="F8" s="56"/>
      <c r="G8" s="56"/>
      <c r="H8" s="56"/>
      <c r="I8" s="57"/>
      <c r="J8" s="57" t="n">
        <v>1</v>
      </c>
      <c r="K8" s="57"/>
      <c r="L8" s="57"/>
      <c r="M8" s="57"/>
      <c r="N8" s="57"/>
      <c r="O8" s="58" t="n">
        <f aca="false">$D8*E8</f>
        <v>0</v>
      </c>
      <c r="P8" s="58" t="n">
        <f aca="false">$D8*F8</f>
        <v>0</v>
      </c>
      <c r="Q8" s="58" t="n">
        <f aca="false">$D8*G8</f>
        <v>0</v>
      </c>
      <c r="R8" s="58" t="n">
        <f aca="false">$D8*H8</f>
        <v>0</v>
      </c>
      <c r="S8" s="58" t="n">
        <f aca="false">$D8*I8</f>
        <v>0</v>
      </c>
      <c r="T8" s="58" t="n">
        <f aca="false">$D8*J8</f>
        <v>139.9</v>
      </c>
      <c r="U8" s="58" t="n">
        <f aca="false">$D8*K8</f>
        <v>0</v>
      </c>
      <c r="V8" s="58" t="n">
        <f aca="false">$D8*L8</f>
        <v>0</v>
      </c>
      <c r="W8" s="58" t="n">
        <f aca="false">$D8*M8</f>
        <v>0</v>
      </c>
      <c r="X8" s="58" t="n">
        <f aca="false">$D8*N8</f>
        <v>0</v>
      </c>
      <c r="Y8" s="94" t="n">
        <f aca="false">Z8/$Y$2</f>
        <v>0.0146201274950361</v>
      </c>
      <c r="Z8" s="58" t="n">
        <f aca="false">SUM(O8:X8)</f>
        <v>139.9</v>
      </c>
    </row>
    <row r="9" customFormat="false" ht="15" hidden="false" customHeight="false" outlineLevel="0" collapsed="false">
      <c r="A9" s="60" t="n">
        <v>6</v>
      </c>
      <c r="B9" s="61" t="s">
        <v>103</v>
      </c>
      <c r="C9" s="62" t="s">
        <v>104</v>
      </c>
      <c r="D9" s="63" t="n">
        <f aca="false">VLOOKUP(C9,'[1]PREÇO ATUAL'!$A$1:$D$1048576,4,0)</f>
        <v>25.55</v>
      </c>
      <c r="E9" s="64"/>
      <c r="F9" s="64"/>
      <c r="G9" s="64"/>
      <c r="H9" s="64"/>
      <c r="I9" s="65"/>
      <c r="J9" s="65" t="n">
        <v>1</v>
      </c>
      <c r="K9" s="65"/>
      <c r="L9" s="65"/>
      <c r="M9" s="65"/>
      <c r="N9" s="65"/>
      <c r="O9" s="66" t="n">
        <f aca="false">$D9*E9</f>
        <v>0</v>
      </c>
      <c r="P9" s="66" t="n">
        <f aca="false">$D9*F9</f>
        <v>0</v>
      </c>
      <c r="Q9" s="66" t="n">
        <f aca="false">$D9*G9</f>
        <v>0</v>
      </c>
      <c r="R9" s="66" t="n">
        <f aca="false">$D9*H9</f>
        <v>0</v>
      </c>
      <c r="S9" s="66" t="n">
        <f aca="false">$D9*I9</f>
        <v>0</v>
      </c>
      <c r="T9" s="66" t="n">
        <f aca="false">$D9*J9</f>
        <v>25.55</v>
      </c>
      <c r="U9" s="66" t="n">
        <f aca="false">$D9*K9</f>
        <v>0</v>
      </c>
      <c r="V9" s="66" t="n">
        <f aca="false">$D9*L9</f>
        <v>0</v>
      </c>
      <c r="W9" s="66" t="n">
        <f aca="false">$D9*M9</f>
        <v>0</v>
      </c>
      <c r="X9" s="66" t="n">
        <f aca="false">$D9*N9</f>
        <v>0</v>
      </c>
      <c r="Y9" s="95" t="n">
        <f aca="false">Z9/$Y$2</f>
        <v>0.00267008046817849</v>
      </c>
      <c r="Z9" s="66" t="n">
        <f aca="false">SUM(O9:X9)</f>
        <v>25.55</v>
      </c>
    </row>
    <row r="10" customFormat="false" ht="15" hidden="false" customHeight="false" outlineLevel="0" collapsed="false">
      <c r="A10" s="52" t="n">
        <v>7</v>
      </c>
      <c r="B10" s="53" t="s">
        <v>94</v>
      </c>
      <c r="C10" s="54" t="s">
        <v>95</v>
      </c>
      <c r="D10" s="55" t="n">
        <f aca="false">VLOOKUP(C10,'[1]PREÇO ATUAL'!$A$1:$D$1048576,4,0)</f>
        <v>136.4</v>
      </c>
      <c r="E10" s="56"/>
      <c r="F10" s="56"/>
      <c r="G10" s="56"/>
      <c r="H10" s="56"/>
      <c r="I10" s="57"/>
      <c r="J10" s="57" t="n">
        <v>1</v>
      </c>
      <c r="K10" s="57"/>
      <c r="L10" s="57"/>
      <c r="M10" s="57"/>
      <c r="N10" s="57"/>
      <c r="O10" s="58" t="n">
        <f aca="false">$D10*E10</f>
        <v>0</v>
      </c>
      <c r="P10" s="58" t="n">
        <f aca="false">$D10*F10</f>
        <v>0</v>
      </c>
      <c r="Q10" s="58" t="n">
        <f aca="false">$D10*G10</f>
        <v>0</v>
      </c>
      <c r="R10" s="58" t="n">
        <f aca="false">$D10*H10</f>
        <v>0</v>
      </c>
      <c r="S10" s="58" t="n">
        <f aca="false">$D10*I10</f>
        <v>0</v>
      </c>
      <c r="T10" s="58" t="n">
        <f aca="false">$D10*J10</f>
        <v>136.4</v>
      </c>
      <c r="U10" s="58" t="n">
        <f aca="false">$D10*K10</f>
        <v>0</v>
      </c>
      <c r="V10" s="58" t="n">
        <f aca="false">$D10*L10</f>
        <v>0</v>
      </c>
      <c r="W10" s="58" t="n">
        <f aca="false">$D10*M10</f>
        <v>0</v>
      </c>
      <c r="X10" s="58" t="n">
        <f aca="false">$D10*N10</f>
        <v>0</v>
      </c>
      <c r="Y10" s="94" t="n">
        <f aca="false">Z10/$Y$2</f>
        <v>0.0142543630473404</v>
      </c>
      <c r="Z10" s="58" t="n">
        <f aca="false">SUM(O10:X10)</f>
        <v>136.4</v>
      </c>
    </row>
    <row r="11" customFormat="false" ht="15" hidden="false" customHeight="false" outlineLevel="0" collapsed="false">
      <c r="A11" s="60" t="n">
        <v>8</v>
      </c>
      <c r="B11" s="61" t="s">
        <v>89</v>
      </c>
      <c r="C11" s="62" t="s">
        <v>90</v>
      </c>
      <c r="D11" s="63" t="n">
        <f aca="false">VLOOKUP(C11,'[1]PREÇO ATUAL'!$A$1:$D$1048576,4,0)</f>
        <v>75.7</v>
      </c>
      <c r="E11" s="70" t="n">
        <v>2.7</v>
      </c>
      <c r="F11" s="70" t="n">
        <v>2.7</v>
      </c>
      <c r="G11" s="70" t="n">
        <v>2.7</v>
      </c>
      <c r="H11" s="70" t="n">
        <v>2.7</v>
      </c>
      <c r="I11" s="63" t="n">
        <v>2.7</v>
      </c>
      <c r="J11" s="63" t="n">
        <v>2.7</v>
      </c>
      <c r="K11" s="63" t="n">
        <v>2.7</v>
      </c>
      <c r="L11" s="63" t="n">
        <v>2.7</v>
      </c>
      <c r="M11" s="63" t="n">
        <v>2.7</v>
      </c>
      <c r="N11" s="63" t="n">
        <v>2.7</v>
      </c>
      <c r="O11" s="66" t="n">
        <f aca="false">$D11*E11</f>
        <v>204.39</v>
      </c>
      <c r="P11" s="66" t="n">
        <f aca="false">$D11*F11</f>
        <v>204.39</v>
      </c>
      <c r="Q11" s="66" t="n">
        <f aca="false">$D11*G11</f>
        <v>204.39</v>
      </c>
      <c r="R11" s="66" t="n">
        <f aca="false">$D11*H11</f>
        <v>204.39</v>
      </c>
      <c r="S11" s="66" t="n">
        <f aca="false">$D11*I11</f>
        <v>204.39</v>
      </c>
      <c r="T11" s="66" t="n">
        <f aca="false">$D11*J11</f>
        <v>204.39</v>
      </c>
      <c r="U11" s="66" t="n">
        <f aca="false">$D11*K11</f>
        <v>204.39</v>
      </c>
      <c r="V11" s="66" t="n">
        <f aca="false">$D11*L11</f>
        <v>204.39</v>
      </c>
      <c r="W11" s="66" t="n">
        <f aca="false">$D11*M11</f>
        <v>204.39</v>
      </c>
      <c r="X11" s="66" t="n">
        <f aca="false">$D11*N11</f>
        <v>204.39</v>
      </c>
      <c r="Y11" s="95" t="n">
        <f aca="false">Z11/$Y$2</f>
        <v>0.213595987041488</v>
      </c>
      <c r="Z11" s="66" t="n">
        <f aca="false">SUM(O11:X11)</f>
        <v>2043.9</v>
      </c>
      <c r="AF11" s="71"/>
    </row>
    <row r="12" customFormat="false" ht="15" hidden="false" customHeight="false" outlineLevel="0" collapsed="false">
      <c r="A12" s="52" t="n">
        <v>9</v>
      </c>
      <c r="B12" s="53" t="s">
        <v>60</v>
      </c>
      <c r="C12" s="54" t="s">
        <v>61</v>
      </c>
      <c r="D12" s="55" t="n">
        <f aca="false">VLOOKUP(C12,'[1]PREÇO ATUAL'!$A$1:$D$1048576,4,0)</f>
        <v>33.6224930838505</v>
      </c>
      <c r="E12" s="56"/>
      <c r="F12" s="56"/>
      <c r="G12" s="56"/>
      <c r="H12" s="56"/>
      <c r="I12" s="57"/>
      <c r="J12" s="57"/>
      <c r="K12" s="57"/>
      <c r="L12" s="57"/>
      <c r="M12" s="57"/>
      <c r="N12" s="57"/>
      <c r="O12" s="58" t="n">
        <f aca="false">$D12*E12</f>
        <v>0</v>
      </c>
      <c r="P12" s="58" t="n">
        <f aca="false">$D12*F12</f>
        <v>0</v>
      </c>
      <c r="Q12" s="58" t="n">
        <f aca="false">$D12*G12</f>
        <v>0</v>
      </c>
      <c r="R12" s="58" t="n">
        <f aca="false">$D12*H12</f>
        <v>0</v>
      </c>
      <c r="S12" s="58" t="n">
        <f aca="false">$D12*I12</f>
        <v>0</v>
      </c>
      <c r="T12" s="58" t="n">
        <f aca="false">$D12*J12</f>
        <v>0</v>
      </c>
      <c r="U12" s="58" t="n">
        <f aca="false">$D12*K12</f>
        <v>0</v>
      </c>
      <c r="V12" s="58" t="n">
        <f aca="false">$D12*L12</f>
        <v>0</v>
      </c>
      <c r="W12" s="58" t="n">
        <f aca="false">$D12*M12</f>
        <v>0</v>
      </c>
      <c r="X12" s="58" t="n">
        <f aca="false">$D12*N12</f>
        <v>0</v>
      </c>
      <c r="Y12" s="94" t="n">
        <f aca="false">Z12/$Y$2</f>
        <v>0</v>
      </c>
      <c r="Z12" s="58" t="n">
        <f aca="false">SUM(O12:X12)</f>
        <v>0</v>
      </c>
      <c r="AF12" s="71"/>
    </row>
    <row r="13" customFormat="false" ht="15" hidden="false" customHeight="false" outlineLevel="0" collapsed="false">
      <c r="A13" s="60" t="n">
        <v>10</v>
      </c>
      <c r="B13" s="61" t="s">
        <v>64</v>
      </c>
      <c r="C13" s="62" t="s">
        <v>65</v>
      </c>
      <c r="D13" s="63" t="n">
        <f aca="false">VLOOKUP(C13,'[1]PREÇO ATUAL'!$A$1:$D$1048576,4,0)</f>
        <v>342</v>
      </c>
      <c r="E13" s="82" t="n">
        <v>0.95</v>
      </c>
      <c r="F13" s="82" t="n">
        <v>1.15</v>
      </c>
      <c r="G13" s="82" t="n">
        <v>2.1</v>
      </c>
      <c r="H13" s="82" t="n">
        <v>1.5</v>
      </c>
      <c r="I13" s="83" t="n">
        <v>1.05</v>
      </c>
      <c r="J13" s="83" t="n">
        <v>4.35</v>
      </c>
      <c r="K13" s="83" t="n">
        <v>0.95</v>
      </c>
      <c r="L13" s="83" t="n">
        <v>1.5</v>
      </c>
      <c r="M13" s="83" t="n">
        <v>2.1</v>
      </c>
      <c r="N13" s="83" t="n">
        <v>1.35</v>
      </c>
      <c r="O13" s="66" t="n">
        <f aca="false">D13*E13</f>
        <v>324.9</v>
      </c>
      <c r="P13" s="66" t="n">
        <f aca="false">$D13*F13</f>
        <v>393.3</v>
      </c>
      <c r="Q13" s="66" t="n">
        <f aca="false">$D13*G13</f>
        <v>718.2</v>
      </c>
      <c r="R13" s="66" t="n">
        <f aca="false">$D13*H13</f>
        <v>513</v>
      </c>
      <c r="S13" s="66" t="n">
        <f aca="false">$D13*I13</f>
        <v>359.1</v>
      </c>
      <c r="T13" s="66" t="n">
        <f aca="false">$D13*J13</f>
        <v>1487.7</v>
      </c>
      <c r="U13" s="66" t="n">
        <f aca="false">$D13*K13</f>
        <v>324.9</v>
      </c>
      <c r="V13" s="66" t="n">
        <f aca="false">$D13*L13</f>
        <v>513</v>
      </c>
      <c r="W13" s="66" t="n">
        <f aca="false">$D13*M13</f>
        <v>718.2</v>
      </c>
      <c r="X13" s="66" t="n">
        <f aca="false">$D13*N13</f>
        <v>461.7</v>
      </c>
      <c r="Y13" s="95" t="n">
        <f aca="false">Z13/$Y$2</f>
        <v>0.607586999686488</v>
      </c>
      <c r="Z13" s="66" t="n">
        <f aca="false">SUM(O13:X13)</f>
        <v>5814</v>
      </c>
    </row>
    <row r="14" customFormat="false" ht="15.75" hidden="false" customHeight="true" outlineLevel="0" collapsed="false">
      <c r="H14" s="93"/>
    </row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</sheetData>
  <mergeCells count="5">
    <mergeCell ref="A1:D2"/>
    <mergeCell ref="E1:N2"/>
    <mergeCell ref="O1:X1"/>
    <mergeCell ref="Y1:Z1"/>
    <mergeCell ref="Y2:Z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Z9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C4" activeCellId="0" sqref="C4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44.85"/>
    <col collapsed="false" customWidth="true" hidden="false" outlineLevel="0" max="3" min="3" style="0" width="16.87"/>
    <col collapsed="false" customWidth="true" hidden="false" outlineLevel="0" max="4" min="4" style="0" width="7.87"/>
    <col collapsed="false" customWidth="true" hidden="false" outlineLevel="0" max="5" min="5" style="0" width="5.28"/>
    <col collapsed="false" customWidth="true" hidden="false" outlineLevel="0" max="14" min="6" style="0" width="5.43"/>
    <col collapsed="false" customWidth="true" hidden="false" outlineLevel="0" max="16" min="15" style="0" width="14.57"/>
    <col collapsed="false" customWidth="true" hidden="false" outlineLevel="0" max="18" min="17" style="0" width="15.71"/>
    <col collapsed="false" customWidth="true" hidden="false" outlineLevel="0" max="19" min="19" style="0" width="14.57"/>
    <col collapsed="false" customWidth="true" hidden="false" outlineLevel="0" max="20" min="20" style="0" width="16.87"/>
    <col collapsed="false" customWidth="true" hidden="false" outlineLevel="0" max="21" min="21" style="0" width="14.57"/>
    <col collapsed="false" customWidth="true" hidden="false" outlineLevel="0" max="23" min="22" style="0" width="15.71"/>
    <col collapsed="false" customWidth="true" hidden="false" outlineLevel="0" max="24" min="24" style="0" width="14.57"/>
    <col collapsed="false" customWidth="true" hidden="false" outlineLevel="0" max="25" min="25" style="0" width="8.41"/>
    <col collapsed="false" customWidth="true" hidden="false" outlineLevel="0" max="26" min="26" style="0" width="15.57"/>
    <col collapsed="false" customWidth="true" hidden="false" outlineLevel="0" max="27" min="27" style="0" width="11.71"/>
    <col collapsed="false" customWidth="true" hidden="false" outlineLevel="0" max="28" min="28" style="0" width="9.13"/>
    <col collapsed="false" customWidth="true" hidden="false" outlineLevel="0" max="29" min="29" style="0" width="11.42"/>
    <col collapsed="false" customWidth="true" hidden="false" outlineLevel="0" max="32" min="30" style="0" width="9.13"/>
  </cols>
  <sheetData>
    <row r="1" customFormat="false" ht="15" hidden="false" customHeight="false" outlineLevel="0" collapsed="false">
      <c r="A1" s="74" t="s">
        <v>110</v>
      </c>
      <c r="B1" s="74"/>
      <c r="C1" s="74"/>
      <c r="D1" s="74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77" t="s">
        <v>30</v>
      </c>
      <c r="P1" s="77"/>
      <c r="Q1" s="77"/>
      <c r="R1" s="77"/>
      <c r="S1" s="77"/>
      <c r="T1" s="77"/>
      <c r="U1" s="77"/>
      <c r="V1" s="77"/>
      <c r="W1" s="77"/>
      <c r="X1" s="77"/>
      <c r="Y1" s="37" t="s">
        <v>31</v>
      </c>
      <c r="Z1" s="37"/>
    </row>
    <row r="2" customFormat="false" ht="15" hidden="false" customHeight="false" outlineLevel="0" collapsed="false">
      <c r="A2" s="74"/>
      <c r="B2" s="74"/>
      <c r="C2" s="74"/>
      <c r="D2" s="74"/>
      <c r="E2" s="86"/>
      <c r="F2" s="86"/>
      <c r="G2" s="86"/>
      <c r="H2" s="86"/>
      <c r="I2" s="86"/>
      <c r="J2" s="86"/>
      <c r="K2" s="86"/>
      <c r="L2" s="86"/>
      <c r="M2" s="86"/>
      <c r="N2" s="86"/>
      <c r="O2" s="43" t="n">
        <f aca="false">MROUND(SUM(O4:O11),1)</f>
        <v>794</v>
      </c>
      <c r="P2" s="43" t="n">
        <f aca="false">MROUND(SUM(P4:P11),1)</f>
        <v>989</v>
      </c>
      <c r="Q2" s="43" t="n">
        <f aca="false">MROUND(SUM(Q4:Q11),1)</f>
        <v>1080</v>
      </c>
      <c r="R2" s="43" t="n">
        <f aca="false">MROUND(SUM(R4:R11),1)</f>
        <v>1075</v>
      </c>
      <c r="S2" s="43" t="n">
        <f aca="false">MROUND(SUM(S4:S11),1)</f>
        <v>812</v>
      </c>
      <c r="T2" s="43" t="n">
        <f aca="false">MROUND(SUM(T4:T11),1)</f>
        <v>1847</v>
      </c>
      <c r="U2" s="43" t="n">
        <f aca="false">MROUND(SUM(U4:U11),1)</f>
        <v>794</v>
      </c>
      <c r="V2" s="43" t="n">
        <f aca="false">MROUND(SUM(V4:V11),1)</f>
        <v>1075</v>
      </c>
      <c r="W2" s="43" t="n">
        <f aca="false">MROUND(SUM(W4:W11),1)</f>
        <v>1080</v>
      </c>
      <c r="X2" s="43" t="n">
        <f aca="false">MROUND(SUM(X4:X11),1)</f>
        <v>1041</v>
      </c>
      <c r="Y2" s="44" t="n">
        <f aca="false">SUM(O2:X2)</f>
        <v>10587</v>
      </c>
      <c r="Z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n">
        <v>10000</v>
      </c>
      <c r="P3" s="48" t="n">
        <v>20000</v>
      </c>
      <c r="Q3" s="48" t="n">
        <v>30000</v>
      </c>
      <c r="R3" s="48" t="n">
        <v>40000</v>
      </c>
      <c r="S3" s="48" t="n">
        <v>50000</v>
      </c>
      <c r="T3" s="48" t="n">
        <v>60000</v>
      </c>
      <c r="U3" s="48" t="n">
        <v>70000</v>
      </c>
      <c r="V3" s="48" t="n">
        <v>80000</v>
      </c>
      <c r="W3" s="48" t="n">
        <v>90000</v>
      </c>
      <c r="X3" s="48" t="n">
        <v>100000</v>
      </c>
      <c r="Y3" s="51" t="s">
        <v>46</v>
      </c>
      <c r="Z3" s="45" t="s">
        <v>47</v>
      </c>
    </row>
    <row r="4" customFormat="false" ht="15" hidden="false" customHeight="false" outlineLevel="0" collapsed="false">
      <c r="A4" s="52" t="n">
        <v>1</v>
      </c>
      <c r="B4" s="53" t="s">
        <v>92</v>
      </c>
      <c r="C4" s="54" t="s">
        <v>111</v>
      </c>
      <c r="D4" s="55" t="n">
        <f aca="false">VLOOKUP(C4,'[1]PREÇO ATUAL'!$A$1:$D$1048576,4,0)</f>
        <v>49.9</v>
      </c>
      <c r="E4" s="56"/>
      <c r="F4" s="56"/>
      <c r="G4" s="56" t="n">
        <v>4</v>
      </c>
      <c r="H4" s="56"/>
      <c r="I4" s="57"/>
      <c r="J4" s="57" t="n">
        <v>4</v>
      </c>
      <c r="K4" s="57"/>
      <c r="L4" s="57"/>
      <c r="M4" s="57" t="n">
        <v>4</v>
      </c>
      <c r="N4" s="57"/>
      <c r="O4" s="58" t="n">
        <f aca="false">$D4*E4</f>
        <v>0</v>
      </c>
      <c r="P4" s="58" t="n">
        <f aca="false">$D4*F4</f>
        <v>0</v>
      </c>
      <c r="Q4" s="58" t="n">
        <f aca="false">$D4*G4</f>
        <v>199.6</v>
      </c>
      <c r="R4" s="58" t="n">
        <f aca="false">$D4*H4</f>
        <v>0</v>
      </c>
      <c r="S4" s="58" t="n">
        <f aca="false">$D4*I4</f>
        <v>0</v>
      </c>
      <c r="T4" s="58" t="n">
        <f aca="false">$D4*J4</f>
        <v>199.6</v>
      </c>
      <c r="U4" s="58" t="n">
        <f aca="false">$D4*K4</f>
        <v>0</v>
      </c>
      <c r="V4" s="58" t="n">
        <f aca="false">$D4*L4</f>
        <v>0</v>
      </c>
      <c r="W4" s="58" t="n">
        <f aca="false">$D4*M4</f>
        <v>199.6</v>
      </c>
      <c r="X4" s="58" t="n">
        <f aca="false">$D4*N4</f>
        <v>0</v>
      </c>
      <c r="Y4" s="94" t="n">
        <f aca="false">Z4/$Y$2</f>
        <v>0.0565599319920657</v>
      </c>
      <c r="Z4" s="58" t="n">
        <f aca="false">SUM(O4:X4)</f>
        <v>598.8</v>
      </c>
    </row>
    <row r="5" customFormat="false" ht="15" hidden="false" customHeight="false" outlineLevel="0" collapsed="false">
      <c r="A5" s="60" t="n">
        <v>2</v>
      </c>
      <c r="B5" s="61" t="s">
        <v>96</v>
      </c>
      <c r="C5" s="62" t="s">
        <v>82</v>
      </c>
      <c r="D5" s="63" t="n">
        <f aca="false">VLOOKUP(C5,'[1]PREÇO ATUAL'!$A$1:$D$1048576,4,0)</f>
        <v>41.43</v>
      </c>
      <c r="E5" s="64" t="n">
        <v>1</v>
      </c>
      <c r="F5" s="64" t="n">
        <v>1</v>
      </c>
      <c r="G5" s="64" t="n">
        <v>1</v>
      </c>
      <c r="H5" s="64" t="n">
        <v>1</v>
      </c>
      <c r="I5" s="65" t="n">
        <v>1</v>
      </c>
      <c r="J5" s="65" t="n">
        <v>1</v>
      </c>
      <c r="K5" s="65" t="n">
        <v>1</v>
      </c>
      <c r="L5" s="65" t="n">
        <v>1</v>
      </c>
      <c r="M5" s="65" t="n">
        <v>1</v>
      </c>
      <c r="N5" s="65" t="n">
        <v>1</v>
      </c>
      <c r="O5" s="66" t="n">
        <f aca="false">$D5*E5</f>
        <v>41.43</v>
      </c>
      <c r="P5" s="66" t="n">
        <f aca="false">$D5*F5</f>
        <v>41.43</v>
      </c>
      <c r="Q5" s="66" t="n">
        <f aca="false">$D5*G5</f>
        <v>41.43</v>
      </c>
      <c r="R5" s="66" t="n">
        <f aca="false">$D5*H5</f>
        <v>41.43</v>
      </c>
      <c r="S5" s="66" t="n">
        <f aca="false">$D5*I5</f>
        <v>41.43</v>
      </c>
      <c r="T5" s="66" t="n">
        <f aca="false">$D5*J5</f>
        <v>41.43</v>
      </c>
      <c r="U5" s="66" t="n">
        <f aca="false">$D5*K5</f>
        <v>41.43</v>
      </c>
      <c r="V5" s="66" t="n">
        <f aca="false">$D5*L5</f>
        <v>41.43</v>
      </c>
      <c r="W5" s="66" t="n">
        <f aca="false">$D5*M5</f>
        <v>41.43</v>
      </c>
      <c r="X5" s="66" t="n">
        <f aca="false">$D5*N5</f>
        <v>41.43</v>
      </c>
      <c r="Y5" s="95" t="n">
        <f aca="false">Z5/$Y$2</f>
        <v>0.0391328988381978</v>
      </c>
      <c r="Z5" s="66" t="n">
        <f aca="false">SUM(O5:X5)</f>
        <v>414.3</v>
      </c>
    </row>
    <row r="6" customFormat="false" ht="15.75" hidden="false" customHeight="true" outlineLevel="0" collapsed="false">
      <c r="A6" s="52" t="n">
        <v>3</v>
      </c>
      <c r="B6" s="53" t="s">
        <v>98</v>
      </c>
      <c r="C6" s="54" t="s">
        <v>51</v>
      </c>
      <c r="D6" s="55" t="n">
        <f aca="false">VLOOKUP(C6,'[1]PREÇO ATUAL'!$A$1:$D$1048576,4,0)</f>
        <v>35.9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57" t="n">
        <v>1</v>
      </c>
      <c r="O6" s="58" t="n">
        <f aca="false">$D6*E6</f>
        <v>0</v>
      </c>
      <c r="P6" s="58" t="n">
        <f aca="false">$D6*F6</f>
        <v>35.9</v>
      </c>
      <c r="Q6" s="58" t="n">
        <f aca="false">$D6*G6</f>
        <v>0</v>
      </c>
      <c r="R6" s="58" t="n">
        <f aca="false">$D6*H6</f>
        <v>35.9</v>
      </c>
      <c r="S6" s="58" t="n">
        <f aca="false">$D6*I6</f>
        <v>0</v>
      </c>
      <c r="T6" s="58" t="n">
        <f aca="false">$D6*J6</f>
        <v>35.9</v>
      </c>
      <c r="U6" s="58" t="n">
        <f aca="false">$D6*K6</f>
        <v>0</v>
      </c>
      <c r="V6" s="58" t="n">
        <f aca="false">$D6*L6</f>
        <v>35.9</v>
      </c>
      <c r="W6" s="58" t="n">
        <f aca="false">$D6*M6</f>
        <v>0</v>
      </c>
      <c r="X6" s="58" t="n">
        <f aca="false">$D6*N6</f>
        <v>35.9</v>
      </c>
      <c r="Y6" s="94" t="n">
        <f aca="false">Z6/$Y$2</f>
        <v>0.0169547558326249</v>
      </c>
      <c r="Z6" s="58" t="n">
        <f aca="false">SUM(O6:X6)</f>
        <v>179.5</v>
      </c>
    </row>
    <row r="7" customFormat="false" ht="15.75" hidden="false" customHeight="true" outlineLevel="0" collapsed="false">
      <c r="A7" s="60" t="n">
        <v>4</v>
      </c>
      <c r="B7" s="61" t="s">
        <v>99</v>
      </c>
      <c r="C7" s="62" t="s">
        <v>112</v>
      </c>
      <c r="D7" s="63" t="n">
        <f aca="false">VLOOKUP(C7,'[1]PREÇO ATUAL'!$A$1:$D$1048576,4,0)</f>
        <v>90.75</v>
      </c>
      <c r="E7" s="64"/>
      <c r="F7" s="64" t="n">
        <v>1</v>
      </c>
      <c r="G7" s="64"/>
      <c r="H7" s="64" t="n">
        <v>1</v>
      </c>
      <c r="I7" s="65"/>
      <c r="J7" s="65" t="n">
        <v>1</v>
      </c>
      <c r="K7" s="65"/>
      <c r="L7" s="65" t="n">
        <v>1</v>
      </c>
      <c r="M7" s="65"/>
      <c r="N7" s="65" t="n">
        <v>1</v>
      </c>
      <c r="O7" s="66" t="n">
        <f aca="false">$D7*E7</f>
        <v>0</v>
      </c>
      <c r="P7" s="66" t="n">
        <f aca="false">$D7*F7</f>
        <v>90.75</v>
      </c>
      <c r="Q7" s="66" t="n">
        <f aca="false">$D7*G7</f>
        <v>0</v>
      </c>
      <c r="R7" s="66" t="n">
        <f aca="false">$D7*H7</f>
        <v>90.75</v>
      </c>
      <c r="S7" s="66" t="n">
        <f aca="false">$D7*I7</f>
        <v>0</v>
      </c>
      <c r="T7" s="66" t="n">
        <f aca="false">$D7*J7</f>
        <v>90.75</v>
      </c>
      <c r="U7" s="66" t="n">
        <f aca="false">$D7*K7</f>
        <v>0</v>
      </c>
      <c r="V7" s="66" t="n">
        <f aca="false">$D7*L7</f>
        <v>90.75</v>
      </c>
      <c r="W7" s="66" t="n">
        <f aca="false">$D7*M7</f>
        <v>0</v>
      </c>
      <c r="X7" s="66" t="n">
        <f aca="false">$D7*N7</f>
        <v>90.75</v>
      </c>
      <c r="Y7" s="95" t="n">
        <f aca="false">Z7/$Y$2</f>
        <v>0.0428591669028053</v>
      </c>
      <c r="Z7" s="66" t="n">
        <f aca="false">SUM(O7:X7)</f>
        <v>453.75</v>
      </c>
    </row>
    <row r="8" customFormat="false" ht="15.75" hidden="false" customHeight="true" outlineLevel="0" collapsed="false">
      <c r="A8" s="52" t="n">
        <v>5</v>
      </c>
      <c r="B8" s="53" t="s">
        <v>101</v>
      </c>
      <c r="C8" s="54" t="s">
        <v>113</v>
      </c>
      <c r="D8" s="55" t="n">
        <f aca="false">VLOOKUP(C8,'[1]PREÇO ATUAL'!$A$1:$D$1048576,4,0)</f>
        <v>213.66</v>
      </c>
      <c r="E8" s="56"/>
      <c r="F8" s="56"/>
      <c r="G8" s="56"/>
      <c r="H8" s="56"/>
      <c r="I8" s="57"/>
      <c r="J8" s="57" t="n">
        <v>1</v>
      </c>
      <c r="K8" s="57"/>
      <c r="L8" s="57"/>
      <c r="M8" s="57"/>
      <c r="N8" s="57"/>
      <c r="O8" s="58" t="n">
        <f aca="false">$D8*E8</f>
        <v>0</v>
      </c>
      <c r="P8" s="58" t="n">
        <f aca="false">$D8*F8</f>
        <v>0</v>
      </c>
      <c r="Q8" s="58" t="n">
        <f aca="false">$D8*G8</f>
        <v>0</v>
      </c>
      <c r="R8" s="58" t="n">
        <f aca="false">$D8*H8</f>
        <v>0</v>
      </c>
      <c r="S8" s="58" t="n">
        <f aca="false">$D8*I8</f>
        <v>0</v>
      </c>
      <c r="T8" s="58" t="n">
        <f aca="false">$D8*J8</f>
        <v>213.66</v>
      </c>
      <c r="U8" s="58" t="n">
        <f aca="false">$D8*K8</f>
        <v>0</v>
      </c>
      <c r="V8" s="58" t="n">
        <f aca="false">$D8*L8</f>
        <v>0</v>
      </c>
      <c r="W8" s="58" t="n">
        <f aca="false">$D8*M8</f>
        <v>0</v>
      </c>
      <c r="X8" s="58" t="n">
        <f aca="false">$D8*N8</f>
        <v>0</v>
      </c>
      <c r="Y8" s="94" t="n">
        <f aca="false">Z8/$Y$2</f>
        <v>0.0201813544913573</v>
      </c>
      <c r="Z8" s="58" t="n">
        <f aca="false">SUM(O8:X8)</f>
        <v>213.66</v>
      </c>
    </row>
    <row r="9" customFormat="false" ht="15.75" hidden="false" customHeight="true" outlineLevel="0" collapsed="false">
      <c r="A9" s="60" t="n">
        <v>6</v>
      </c>
      <c r="B9" s="61" t="s">
        <v>89</v>
      </c>
      <c r="C9" s="62" t="s">
        <v>90</v>
      </c>
      <c r="D9" s="63" t="n">
        <f aca="false">VLOOKUP(C9,'[1]PREÇO ATUAL'!$A$1:$D$1048576,4,0)</f>
        <v>75.7</v>
      </c>
      <c r="E9" s="70" t="n">
        <v>4.3</v>
      </c>
      <c r="F9" s="70" t="n">
        <v>4.3</v>
      </c>
      <c r="G9" s="70" t="n">
        <v>4.3</v>
      </c>
      <c r="H9" s="70" t="n">
        <v>4.3</v>
      </c>
      <c r="I9" s="63" t="n">
        <v>4.3</v>
      </c>
      <c r="J9" s="63" t="n">
        <v>4.3</v>
      </c>
      <c r="K9" s="63" t="n">
        <v>4.3</v>
      </c>
      <c r="L9" s="63" t="n">
        <v>4.3</v>
      </c>
      <c r="M9" s="63" t="n">
        <v>4.3</v>
      </c>
      <c r="N9" s="63" t="n">
        <v>4.3</v>
      </c>
      <c r="O9" s="66" t="n">
        <f aca="false">$D9*E9</f>
        <v>325.51</v>
      </c>
      <c r="P9" s="66" t="n">
        <f aca="false">$D9*F9</f>
        <v>325.51</v>
      </c>
      <c r="Q9" s="66" t="n">
        <f aca="false">$D9*G9</f>
        <v>325.51</v>
      </c>
      <c r="R9" s="66" t="n">
        <f aca="false">$D9*H9</f>
        <v>325.51</v>
      </c>
      <c r="S9" s="66" t="n">
        <f aca="false">$D9*I9</f>
        <v>325.51</v>
      </c>
      <c r="T9" s="66" t="n">
        <f aca="false">$D9*J9</f>
        <v>325.51</v>
      </c>
      <c r="U9" s="66" t="n">
        <f aca="false">$D9*K9</f>
        <v>325.51</v>
      </c>
      <c r="V9" s="66" t="n">
        <f aca="false">$D9*L9</f>
        <v>325.51</v>
      </c>
      <c r="W9" s="66" t="n">
        <f aca="false">$D9*M9</f>
        <v>325.51</v>
      </c>
      <c r="X9" s="66" t="n">
        <f aca="false">$D9*N9</f>
        <v>325.51</v>
      </c>
      <c r="Y9" s="95" t="n">
        <f aca="false">Z9/$Y$2</f>
        <v>0.30746198167564</v>
      </c>
      <c r="Z9" s="66" t="n">
        <f aca="false">SUM(O9:X9)</f>
        <v>3255.1</v>
      </c>
    </row>
    <row r="10" customFormat="false" ht="15.75" hidden="false" customHeight="true" outlineLevel="0" collapsed="false">
      <c r="A10" s="52" t="n">
        <v>7</v>
      </c>
      <c r="B10" s="53" t="s">
        <v>60</v>
      </c>
      <c r="C10" s="54" t="s">
        <v>61</v>
      </c>
      <c r="D10" s="55" t="n">
        <f aca="false">VLOOKUP(C10,'[1]PREÇO ATUAL'!$A$1:$D$1048576,4,0)</f>
        <v>33.6224930838505</v>
      </c>
      <c r="E10" s="56"/>
      <c r="F10" s="56"/>
      <c r="G10" s="56"/>
      <c r="H10" s="56"/>
      <c r="I10" s="57"/>
      <c r="J10" s="57"/>
      <c r="K10" s="57"/>
      <c r="L10" s="57"/>
      <c r="M10" s="57"/>
      <c r="N10" s="57"/>
      <c r="O10" s="58" t="n">
        <f aca="false">$D10*E10</f>
        <v>0</v>
      </c>
      <c r="P10" s="58" t="n">
        <f aca="false">$D10*F10</f>
        <v>0</v>
      </c>
      <c r="Q10" s="58" t="n">
        <f aca="false">$D10*G10</f>
        <v>0</v>
      </c>
      <c r="R10" s="58" t="n">
        <f aca="false">$D10*H10</f>
        <v>0</v>
      </c>
      <c r="S10" s="58" t="n">
        <f aca="false">$D10*I10</f>
        <v>0</v>
      </c>
      <c r="T10" s="58" t="n">
        <f aca="false">$D10*J10</f>
        <v>0</v>
      </c>
      <c r="U10" s="58" t="n">
        <f aca="false">$D10*K10</f>
        <v>0</v>
      </c>
      <c r="V10" s="58" t="n">
        <f aca="false">$D10*L10</f>
        <v>0</v>
      </c>
      <c r="W10" s="58" t="n">
        <f aca="false">$D10*M10</f>
        <v>0</v>
      </c>
      <c r="X10" s="58" t="n">
        <f aca="false">$D10*N10</f>
        <v>0</v>
      </c>
      <c r="Y10" s="94" t="n">
        <f aca="false">Z10/$Y$2</f>
        <v>0</v>
      </c>
      <c r="Z10" s="58" t="n">
        <f aca="false">SUM(O10:X10)</f>
        <v>0</v>
      </c>
    </row>
    <row r="11" customFormat="false" ht="15.75" hidden="false" customHeight="true" outlineLevel="0" collapsed="false">
      <c r="A11" s="60" t="n">
        <v>8</v>
      </c>
      <c r="B11" s="61" t="s">
        <v>64</v>
      </c>
      <c r="C11" s="62" t="s">
        <v>65</v>
      </c>
      <c r="D11" s="63" t="n">
        <f aca="false">VLOOKUP(C11,'[1]PREÇO ATUAL'!$A$1:$D$1048576,4,0)</f>
        <v>342</v>
      </c>
      <c r="E11" s="82" t="n">
        <v>1.25</v>
      </c>
      <c r="F11" s="82" t="n">
        <v>1.45</v>
      </c>
      <c r="G11" s="82" t="n">
        <v>1.5</v>
      </c>
      <c r="H11" s="82" t="n">
        <v>1.7</v>
      </c>
      <c r="I11" s="83" t="n">
        <v>1.3</v>
      </c>
      <c r="J11" s="83" t="n">
        <v>2.75</v>
      </c>
      <c r="K11" s="83" t="n">
        <v>1.25</v>
      </c>
      <c r="L11" s="83" t="n">
        <v>1.7</v>
      </c>
      <c r="M11" s="83" t="n">
        <v>1.5</v>
      </c>
      <c r="N11" s="83" t="n">
        <v>1.6</v>
      </c>
      <c r="O11" s="66" t="n">
        <f aca="false">D11*E11</f>
        <v>427.5</v>
      </c>
      <c r="P11" s="66" t="n">
        <f aca="false">$D11*F11</f>
        <v>495.9</v>
      </c>
      <c r="Q11" s="66" t="n">
        <f aca="false">$D11*G11</f>
        <v>513</v>
      </c>
      <c r="R11" s="66" t="n">
        <f aca="false">$D11*H11</f>
        <v>581.4</v>
      </c>
      <c r="S11" s="66" t="n">
        <f aca="false">$D11*I11</f>
        <v>444.6</v>
      </c>
      <c r="T11" s="66" t="n">
        <f aca="false">$D11*J11</f>
        <v>940.5</v>
      </c>
      <c r="U11" s="66" t="n">
        <f aca="false">$D11*K11</f>
        <v>427.5</v>
      </c>
      <c r="V11" s="66" t="n">
        <f aca="false">$D11*L11</f>
        <v>581.4</v>
      </c>
      <c r="W11" s="66" t="n">
        <f aca="false">$D11*M11</f>
        <v>513</v>
      </c>
      <c r="X11" s="66" t="n">
        <f aca="false">$D11*N11</f>
        <v>547.2</v>
      </c>
      <c r="Y11" s="95" t="n">
        <f aca="false">Z11/$Y$2</f>
        <v>0.516860300368376</v>
      </c>
      <c r="Z11" s="66" t="n">
        <f aca="false">SUM(O11:X11)</f>
        <v>5472</v>
      </c>
    </row>
    <row r="12" customFormat="false" ht="15.75" hidden="false" customHeight="true" outlineLevel="0" collapsed="false">
      <c r="H12" s="93"/>
    </row>
    <row r="13" customFormat="false" ht="15.75" hidden="false" customHeight="true" outlineLevel="0" collapsed="false">
      <c r="H13" s="93"/>
    </row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</sheetData>
  <mergeCells count="5">
    <mergeCell ref="A1:D2"/>
    <mergeCell ref="E1:N2"/>
    <mergeCell ref="O1:X1"/>
    <mergeCell ref="Y1:Z1"/>
    <mergeCell ref="Y2:Z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Z9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C4" activeCellId="0" sqref="C4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44"/>
    <col collapsed="false" customWidth="true" hidden="false" outlineLevel="0" max="3" min="3" style="0" width="16.87"/>
    <col collapsed="false" customWidth="true" hidden="false" outlineLevel="0" max="4" min="4" style="0" width="8.71"/>
    <col collapsed="false" customWidth="true" hidden="false" outlineLevel="0" max="5" min="5" style="0" width="5.28"/>
    <col collapsed="false" customWidth="true" hidden="false" outlineLevel="0" max="13" min="6" style="0" width="5.43"/>
    <col collapsed="false" customWidth="true" hidden="false" outlineLevel="0" max="14" min="14" style="0" width="5.57"/>
    <col collapsed="false" customWidth="true" hidden="false" outlineLevel="0" max="16" min="15" style="0" width="14.57"/>
    <col collapsed="false" customWidth="true" hidden="false" outlineLevel="0" max="23" min="17" style="0" width="15.71"/>
    <col collapsed="false" customWidth="true" hidden="false" outlineLevel="0" max="24" min="24" style="0" width="14.57"/>
    <col collapsed="false" customWidth="true" hidden="false" outlineLevel="0" max="25" min="25" style="0" width="13.7"/>
    <col collapsed="false" customWidth="true" hidden="false" outlineLevel="0" max="26" min="26" style="0" width="15.57"/>
  </cols>
  <sheetData>
    <row r="1" customFormat="false" ht="15.75" hidden="false" customHeight="true" outlineLevel="0" collapsed="false">
      <c r="A1" s="89" t="s">
        <v>114</v>
      </c>
      <c r="B1" s="89"/>
      <c r="C1" s="89"/>
      <c r="D1" s="89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90" t="s">
        <v>30</v>
      </c>
      <c r="P1" s="90"/>
      <c r="Q1" s="90"/>
      <c r="R1" s="90"/>
      <c r="S1" s="90"/>
      <c r="T1" s="90"/>
      <c r="U1" s="90"/>
      <c r="V1" s="90"/>
      <c r="W1" s="90"/>
      <c r="X1" s="90"/>
      <c r="Y1" s="37" t="s">
        <v>31</v>
      </c>
      <c r="Z1" s="37"/>
    </row>
    <row r="2" customFormat="false" ht="15" hidden="false" customHeight="true" outlineLevel="0" collapsed="false">
      <c r="A2" s="89"/>
      <c r="B2" s="89"/>
      <c r="C2" s="89"/>
      <c r="D2" s="89"/>
      <c r="E2" s="86"/>
      <c r="F2" s="86"/>
      <c r="G2" s="86"/>
      <c r="H2" s="86"/>
      <c r="I2" s="86"/>
      <c r="J2" s="86"/>
      <c r="K2" s="86"/>
      <c r="L2" s="86"/>
      <c r="M2" s="86"/>
      <c r="N2" s="86"/>
      <c r="O2" s="43" t="n">
        <f aca="false">MROUND(SUM(O4:O12),1)</f>
        <v>600</v>
      </c>
      <c r="P2" s="43" t="n">
        <f aca="false">MROUND(SUM(P4:P12),1)</f>
        <v>788</v>
      </c>
      <c r="Q2" s="43" t="n">
        <f aca="false">MROUND(SUM(Q4:Q12),1)</f>
        <v>1193</v>
      </c>
      <c r="R2" s="43" t="n">
        <f aca="false">MROUND(SUM(R4:R12),1)</f>
        <v>908</v>
      </c>
      <c r="S2" s="43" t="n">
        <f aca="false">MROUND(SUM(S4:S12),1)</f>
        <v>652</v>
      </c>
      <c r="T2" s="43" t="n">
        <f aca="false">MROUND(SUM(T4:T12),1)</f>
        <v>2380</v>
      </c>
      <c r="U2" s="43" t="n">
        <f aca="false">MROUND(SUM(U4:U12),1)</f>
        <v>600</v>
      </c>
      <c r="V2" s="43" t="n">
        <f aca="false">MROUND(SUM(V4:V12),1)</f>
        <v>908</v>
      </c>
      <c r="W2" s="43" t="n">
        <f aca="false">MROUND(SUM(W4:W12),1)</f>
        <v>1193</v>
      </c>
      <c r="X2" s="43" t="n">
        <f aca="false">MROUND(SUM(X4:X12),1)</f>
        <v>856</v>
      </c>
      <c r="Y2" s="44" t="n">
        <f aca="false">SUM(O2:X2)</f>
        <v>10078</v>
      </c>
      <c r="Z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n">
        <v>10000</v>
      </c>
      <c r="P3" s="48" t="n">
        <v>20000</v>
      </c>
      <c r="Q3" s="48" t="n">
        <v>30000</v>
      </c>
      <c r="R3" s="48" t="n">
        <v>40000</v>
      </c>
      <c r="S3" s="48" t="n">
        <v>50000</v>
      </c>
      <c r="T3" s="48" t="n">
        <v>60000</v>
      </c>
      <c r="U3" s="48" t="n">
        <v>70000</v>
      </c>
      <c r="V3" s="48" t="n">
        <v>80000</v>
      </c>
      <c r="W3" s="48" t="n">
        <v>90000</v>
      </c>
      <c r="X3" s="48" t="n">
        <v>100000</v>
      </c>
      <c r="Y3" s="51" t="s">
        <v>46</v>
      </c>
      <c r="Z3" s="45" t="s">
        <v>47</v>
      </c>
    </row>
    <row r="4" customFormat="false" ht="15" hidden="false" customHeight="false" outlineLevel="0" collapsed="false">
      <c r="A4" s="52" t="n">
        <v>1</v>
      </c>
      <c r="B4" s="53" t="s">
        <v>115</v>
      </c>
      <c r="C4" s="54" t="s">
        <v>97</v>
      </c>
      <c r="D4" s="55" t="n">
        <f aca="false">VLOOKUP(C4,'[1]PREÇO ATUAL'!$A$1:$D$1048576,4,0)</f>
        <v>71.2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96" t="n">
        <v>1</v>
      </c>
      <c r="O4" s="58" t="n">
        <f aca="false">$D4*E4</f>
        <v>71.2</v>
      </c>
      <c r="P4" s="58" t="n">
        <f aca="false">$D4*F4</f>
        <v>71.2</v>
      </c>
      <c r="Q4" s="58" t="n">
        <f aca="false">$D4*G4</f>
        <v>71.2</v>
      </c>
      <c r="R4" s="58" t="n">
        <f aca="false">$D4*H4</f>
        <v>71.2</v>
      </c>
      <c r="S4" s="58" t="n">
        <f aca="false">$D4*I4</f>
        <v>71.2</v>
      </c>
      <c r="T4" s="58" t="n">
        <f aca="false">$D4*J4</f>
        <v>71.2</v>
      </c>
      <c r="U4" s="58" t="n">
        <f aca="false">$D4*K4</f>
        <v>71.2</v>
      </c>
      <c r="V4" s="58" t="n">
        <f aca="false">$D4*L4</f>
        <v>71.2</v>
      </c>
      <c r="W4" s="58" t="n">
        <f aca="false">$D4*M4</f>
        <v>71.2</v>
      </c>
      <c r="X4" s="91" t="n">
        <f aca="false">$D4*N4</f>
        <v>71.2</v>
      </c>
      <c r="Y4" s="94" t="n">
        <f aca="false">Z4/$Y$2</f>
        <v>0.070648938281405</v>
      </c>
      <c r="Z4" s="58" t="n">
        <f aca="false">SUM(O4:X4)</f>
        <v>712</v>
      </c>
    </row>
    <row r="5" customFormat="false" ht="15" hidden="false" customHeight="false" outlineLevel="0" collapsed="false">
      <c r="A5" s="60" t="n">
        <v>2</v>
      </c>
      <c r="B5" s="61" t="s">
        <v>50</v>
      </c>
      <c r="C5" s="62" t="s">
        <v>51</v>
      </c>
      <c r="D5" s="63" t="n">
        <f aca="false">VLOOKUP(C5,'[1]PREÇO ATUAL'!$A$1:$D$1048576,4,0)</f>
        <v>35.9</v>
      </c>
      <c r="E5" s="64"/>
      <c r="F5" s="64" t="n">
        <v>1</v>
      </c>
      <c r="G5" s="64"/>
      <c r="H5" s="64" t="n">
        <v>1</v>
      </c>
      <c r="I5" s="65"/>
      <c r="J5" s="65" t="n">
        <v>1</v>
      </c>
      <c r="K5" s="65"/>
      <c r="L5" s="65" t="n">
        <v>1</v>
      </c>
      <c r="M5" s="65"/>
      <c r="N5" s="97" t="n">
        <v>1</v>
      </c>
      <c r="O5" s="66" t="n">
        <f aca="false">$D5*E5</f>
        <v>0</v>
      </c>
      <c r="P5" s="66" t="n">
        <f aca="false">$D5*F5</f>
        <v>35.9</v>
      </c>
      <c r="Q5" s="66" t="n">
        <f aca="false">$D5*G5</f>
        <v>0</v>
      </c>
      <c r="R5" s="66" t="n">
        <f aca="false">$D5*H5</f>
        <v>35.9</v>
      </c>
      <c r="S5" s="66" t="n">
        <f aca="false">$D5*I5</f>
        <v>0</v>
      </c>
      <c r="T5" s="66" t="n">
        <f aca="false">$D5*J5</f>
        <v>35.9</v>
      </c>
      <c r="U5" s="66" t="n">
        <f aca="false">$D5*K5</f>
        <v>0</v>
      </c>
      <c r="V5" s="66" t="n">
        <f aca="false">$D5*L5</f>
        <v>35.9</v>
      </c>
      <c r="W5" s="66" t="n">
        <f aca="false">$D5*M5</f>
        <v>0</v>
      </c>
      <c r="X5" s="92" t="n">
        <f aca="false">$D5*N5</f>
        <v>35.9</v>
      </c>
      <c r="Y5" s="95" t="n">
        <f aca="false">Z5/$Y$2</f>
        <v>0.0178110736257194</v>
      </c>
      <c r="Z5" s="66" t="n">
        <f aca="false">SUM(O5:X5)</f>
        <v>179.5</v>
      </c>
    </row>
    <row r="6" customFormat="false" ht="15" hidden="false" customHeight="false" outlineLevel="0" collapsed="false">
      <c r="A6" s="52" t="n">
        <v>3</v>
      </c>
      <c r="B6" s="53" t="s">
        <v>116</v>
      </c>
      <c r="C6" s="54" t="s">
        <v>100</v>
      </c>
      <c r="D6" s="55" t="n">
        <f aca="false">VLOOKUP(C6,'[1]PREÇO ATUAL'!$A$1:$D$1048576,4,0)</f>
        <v>83.06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96" t="n">
        <v>1</v>
      </c>
      <c r="O6" s="58" t="n">
        <f aca="false">$D6*E6</f>
        <v>0</v>
      </c>
      <c r="P6" s="58" t="n">
        <f aca="false">$D6*F6</f>
        <v>83.06</v>
      </c>
      <c r="Q6" s="58" t="n">
        <f aca="false">$D6*G6</f>
        <v>0</v>
      </c>
      <c r="R6" s="58" t="n">
        <f aca="false">$D6*H6</f>
        <v>83.06</v>
      </c>
      <c r="S6" s="58" t="n">
        <f aca="false">$D6*I6</f>
        <v>0</v>
      </c>
      <c r="T6" s="58" t="n">
        <f aca="false">$D6*J6</f>
        <v>83.06</v>
      </c>
      <c r="U6" s="58" t="n">
        <f aca="false">$D6*K6</f>
        <v>0</v>
      </c>
      <c r="V6" s="58" t="n">
        <f aca="false">$D6*L6</f>
        <v>83.06</v>
      </c>
      <c r="W6" s="58" t="n">
        <f aca="false">$D6*M6</f>
        <v>0</v>
      </c>
      <c r="X6" s="91" t="n">
        <f aca="false">$D6*N6</f>
        <v>83.06</v>
      </c>
      <c r="Y6" s="94" t="n">
        <f aca="false">Z6/$Y$2</f>
        <v>0.0412085731295892</v>
      </c>
      <c r="Z6" s="58" t="n">
        <f aca="false">SUM(O6:X6)</f>
        <v>415.3</v>
      </c>
    </row>
    <row r="7" customFormat="false" ht="15" hidden="false" customHeight="false" outlineLevel="0" collapsed="false">
      <c r="A7" s="60" t="n">
        <v>4</v>
      </c>
      <c r="B7" s="61" t="s">
        <v>85</v>
      </c>
      <c r="C7" s="62" t="s">
        <v>111</v>
      </c>
      <c r="D7" s="63" t="n">
        <f aca="false">VLOOKUP(C7,'[1]PREÇO ATUAL'!$A$1:$D$1048576,4,0)</f>
        <v>49.9</v>
      </c>
      <c r="E7" s="64"/>
      <c r="F7" s="64"/>
      <c r="G7" s="64" t="n">
        <v>4</v>
      </c>
      <c r="H7" s="64"/>
      <c r="I7" s="65"/>
      <c r="J7" s="65" t="n">
        <v>4</v>
      </c>
      <c r="K7" s="65"/>
      <c r="L7" s="65"/>
      <c r="M7" s="65" t="n">
        <v>4</v>
      </c>
      <c r="N7" s="97"/>
      <c r="O7" s="66" t="n">
        <f aca="false">$D7*E7</f>
        <v>0</v>
      </c>
      <c r="P7" s="66" t="n">
        <f aca="false">$D7*F7</f>
        <v>0</v>
      </c>
      <c r="Q7" s="66" t="n">
        <f aca="false">$D7*G7</f>
        <v>199.6</v>
      </c>
      <c r="R7" s="66" t="n">
        <f aca="false">$D7*H7</f>
        <v>0</v>
      </c>
      <c r="S7" s="66" t="n">
        <f aca="false">$D7*I7</f>
        <v>0</v>
      </c>
      <c r="T7" s="66" t="n">
        <f aca="false">$D7*J7</f>
        <v>199.6</v>
      </c>
      <c r="U7" s="66" t="n">
        <f aca="false">$D7*K7</f>
        <v>0</v>
      </c>
      <c r="V7" s="66" t="n">
        <f aca="false">$D7*L7</f>
        <v>0</v>
      </c>
      <c r="W7" s="66" t="n">
        <f aca="false">$D7*M7</f>
        <v>199.6</v>
      </c>
      <c r="X7" s="92" t="n">
        <f aca="false">$D7*N7</f>
        <v>0</v>
      </c>
      <c r="Y7" s="95" t="n">
        <f aca="false">Z7/$Y$2</f>
        <v>0.0594165509029569</v>
      </c>
      <c r="Z7" s="66" t="n">
        <f aca="false">SUM(O7:X7)</f>
        <v>598.8</v>
      </c>
    </row>
    <row r="8" customFormat="false" ht="15" hidden="false" customHeight="false" outlineLevel="0" collapsed="false">
      <c r="A8" s="52" t="n">
        <v>5</v>
      </c>
      <c r="B8" s="53" t="s">
        <v>117</v>
      </c>
      <c r="C8" s="54" t="s">
        <v>118</v>
      </c>
      <c r="D8" s="55" t="n">
        <f aca="false">VLOOKUP(C8,'[1]PREÇO ATUAL'!$A$1:$D$1048576,4,0)</f>
        <v>110.87</v>
      </c>
      <c r="E8" s="56"/>
      <c r="F8" s="56"/>
      <c r="G8" s="56"/>
      <c r="H8" s="56"/>
      <c r="I8" s="57"/>
      <c r="J8" s="57" t="n">
        <v>1</v>
      </c>
      <c r="K8" s="57"/>
      <c r="L8" s="57"/>
      <c r="M8" s="57"/>
      <c r="N8" s="96"/>
      <c r="O8" s="58" t="n">
        <f aca="false">$D8*E8</f>
        <v>0</v>
      </c>
      <c r="P8" s="58" t="n">
        <f aca="false">$D8*F8</f>
        <v>0</v>
      </c>
      <c r="Q8" s="58" t="n">
        <f aca="false">$D8*G8</f>
        <v>0</v>
      </c>
      <c r="R8" s="58" t="n">
        <f aca="false">$D8*H8</f>
        <v>0</v>
      </c>
      <c r="S8" s="58" t="n">
        <f aca="false">$D8*I8</f>
        <v>0</v>
      </c>
      <c r="T8" s="58" t="n">
        <f aca="false">$D8*J8</f>
        <v>110.87</v>
      </c>
      <c r="U8" s="58" t="n">
        <f aca="false">$D8*K8</f>
        <v>0</v>
      </c>
      <c r="V8" s="58" t="n">
        <f aca="false">$D8*L8</f>
        <v>0</v>
      </c>
      <c r="W8" s="58" t="n">
        <f aca="false">$D8*M8</f>
        <v>0</v>
      </c>
      <c r="X8" s="91" t="n">
        <f aca="false">$D8*N8</f>
        <v>0</v>
      </c>
      <c r="Y8" s="94" t="n">
        <f aca="false">Z8/$Y$2</f>
        <v>0.0110011907124429</v>
      </c>
      <c r="Z8" s="58" t="n">
        <f aca="false">SUM(O8:X8)</f>
        <v>110.87</v>
      </c>
    </row>
    <row r="9" customFormat="false" ht="15" hidden="false" customHeight="false" outlineLevel="0" collapsed="false">
      <c r="A9" s="60" t="n">
        <v>6</v>
      </c>
      <c r="B9" s="61" t="s">
        <v>119</v>
      </c>
      <c r="C9" s="62" t="s">
        <v>95</v>
      </c>
      <c r="D9" s="63" t="n">
        <f aca="false">VLOOKUP(C9,'[1]PREÇO ATUAL'!$A$1:$D$1048576,4,0)</f>
        <v>136.4</v>
      </c>
      <c r="E9" s="64"/>
      <c r="F9" s="64"/>
      <c r="G9" s="64"/>
      <c r="H9" s="64"/>
      <c r="I9" s="65"/>
      <c r="J9" s="65" t="n">
        <v>1</v>
      </c>
      <c r="K9" s="65"/>
      <c r="L9" s="65"/>
      <c r="M9" s="65"/>
      <c r="N9" s="97"/>
      <c r="O9" s="66" t="n">
        <f aca="false">$D9*E9</f>
        <v>0</v>
      </c>
      <c r="P9" s="66" t="n">
        <f aca="false">$D9*F9</f>
        <v>0</v>
      </c>
      <c r="Q9" s="66" t="n">
        <f aca="false">$D9*G9</f>
        <v>0</v>
      </c>
      <c r="R9" s="66" t="n">
        <f aca="false">$D9*H9</f>
        <v>0</v>
      </c>
      <c r="S9" s="66" t="n">
        <f aca="false">$D9*I9</f>
        <v>0</v>
      </c>
      <c r="T9" s="66" t="n">
        <f aca="false">$D9*J9</f>
        <v>136.4</v>
      </c>
      <c r="U9" s="66" t="n">
        <f aca="false">$D9*K9</f>
        <v>0</v>
      </c>
      <c r="V9" s="66" t="n">
        <f aca="false">$D9*L9</f>
        <v>0</v>
      </c>
      <c r="W9" s="66" t="n">
        <f aca="false">$D9*M9</f>
        <v>0</v>
      </c>
      <c r="X9" s="92" t="n">
        <f aca="false">$D9*N9</f>
        <v>0</v>
      </c>
      <c r="Y9" s="95" t="n">
        <f aca="false">Z9/$Y$2</f>
        <v>0.0135344314348085</v>
      </c>
      <c r="Z9" s="66" t="n">
        <f aca="false">SUM(O9:X9)</f>
        <v>136.4</v>
      </c>
    </row>
    <row r="10" customFormat="false" ht="15" hidden="false" customHeight="false" outlineLevel="0" collapsed="false">
      <c r="A10" s="52" t="n">
        <v>7</v>
      </c>
      <c r="B10" s="53" t="s">
        <v>89</v>
      </c>
      <c r="C10" s="54" t="s">
        <v>90</v>
      </c>
      <c r="D10" s="55" t="n">
        <f aca="false">VLOOKUP(C10,'[1]PREÇO ATUAL'!$A$1:$D$1048576,4,0)</f>
        <v>75.7</v>
      </c>
      <c r="E10" s="69" t="n">
        <v>2.7</v>
      </c>
      <c r="F10" s="69" t="n">
        <v>2.7</v>
      </c>
      <c r="G10" s="69" t="n">
        <v>2.7</v>
      </c>
      <c r="H10" s="69" t="n">
        <v>2.7</v>
      </c>
      <c r="I10" s="55" t="n">
        <v>2.7</v>
      </c>
      <c r="J10" s="55" t="n">
        <v>2.7</v>
      </c>
      <c r="K10" s="55" t="n">
        <v>2.7</v>
      </c>
      <c r="L10" s="55" t="n">
        <v>2.7</v>
      </c>
      <c r="M10" s="55" t="n">
        <v>2.7</v>
      </c>
      <c r="N10" s="55" t="n">
        <v>2.7</v>
      </c>
      <c r="O10" s="58" t="n">
        <f aca="false">$D10*E10</f>
        <v>204.39</v>
      </c>
      <c r="P10" s="58" t="n">
        <f aca="false">$D10*F10</f>
        <v>204.39</v>
      </c>
      <c r="Q10" s="58" t="n">
        <f aca="false">$D10*G10</f>
        <v>204.39</v>
      </c>
      <c r="R10" s="58" t="n">
        <f aca="false">$D10*H10</f>
        <v>204.39</v>
      </c>
      <c r="S10" s="58" t="n">
        <f aca="false">$D10*I10</f>
        <v>204.39</v>
      </c>
      <c r="T10" s="58" t="n">
        <f aca="false">$D10*J10</f>
        <v>204.39</v>
      </c>
      <c r="U10" s="58" t="n">
        <f aca="false">$D10*K10</f>
        <v>204.39</v>
      </c>
      <c r="V10" s="58" t="n">
        <f aca="false">$D10*L10</f>
        <v>204.39</v>
      </c>
      <c r="W10" s="58" t="n">
        <f aca="false">$D10*M10</f>
        <v>204.39</v>
      </c>
      <c r="X10" s="91" t="n">
        <f aca="false">$D10*N10</f>
        <v>204.39</v>
      </c>
      <c r="Y10" s="94" t="n">
        <f aca="false">Z10/$Y$2</f>
        <v>0.202808096844612</v>
      </c>
      <c r="Z10" s="58" t="n">
        <f aca="false">SUM(O10:X10)</f>
        <v>2043.9</v>
      </c>
    </row>
    <row r="11" customFormat="false" ht="15" hidden="false" customHeight="false" outlineLevel="0" collapsed="false">
      <c r="A11" s="60" t="n">
        <v>8</v>
      </c>
      <c r="B11" s="61" t="s">
        <v>60</v>
      </c>
      <c r="C11" s="62" t="s">
        <v>61</v>
      </c>
      <c r="D11" s="63" t="n">
        <f aca="false">VLOOKUP(C11,'[1]PREÇO ATUAL'!$A$1:$D$1048576,4,0)</f>
        <v>33.6224930838505</v>
      </c>
      <c r="E11" s="98"/>
      <c r="F11" s="98"/>
      <c r="G11" s="98"/>
      <c r="H11" s="99"/>
      <c r="I11" s="100"/>
      <c r="J11" s="100"/>
      <c r="K11" s="100"/>
      <c r="L11" s="101"/>
      <c r="M11" s="100"/>
      <c r="N11" s="102"/>
      <c r="O11" s="66" t="n">
        <f aca="false">$D11*E11</f>
        <v>0</v>
      </c>
      <c r="P11" s="66" t="n">
        <f aca="false">$D11*F11</f>
        <v>0</v>
      </c>
      <c r="Q11" s="66" t="n">
        <f aca="false">$D11*G11</f>
        <v>0</v>
      </c>
      <c r="R11" s="66" t="n">
        <f aca="false">$D11*H11</f>
        <v>0</v>
      </c>
      <c r="S11" s="66" t="n">
        <f aca="false">$D11*I11</f>
        <v>0</v>
      </c>
      <c r="T11" s="66" t="n">
        <f aca="false">$D11*J11</f>
        <v>0</v>
      </c>
      <c r="U11" s="66" t="n">
        <f aca="false">$D11*K11</f>
        <v>0</v>
      </c>
      <c r="V11" s="66" t="n">
        <f aca="false">$D11*L11</f>
        <v>0</v>
      </c>
      <c r="W11" s="66" t="n">
        <f aca="false">$D11*M11</f>
        <v>0</v>
      </c>
      <c r="X11" s="92" t="n">
        <f aca="false">$D11*N11</f>
        <v>0</v>
      </c>
      <c r="Y11" s="95" t="n">
        <f aca="false">Z11/$Y$2</f>
        <v>0</v>
      </c>
      <c r="Z11" s="66" t="n">
        <f aca="false">SUM(O11:X11)</f>
        <v>0</v>
      </c>
    </row>
    <row r="12" customFormat="false" ht="15" hidden="false" customHeight="false" outlineLevel="0" collapsed="false">
      <c r="A12" s="52" t="n">
        <v>9</v>
      </c>
      <c r="B12" s="53" t="s">
        <v>64</v>
      </c>
      <c r="C12" s="54" t="s">
        <v>65</v>
      </c>
      <c r="D12" s="55" t="n">
        <f aca="false">VLOOKUP(C12,'[1]PREÇO ATUAL'!$A$1:$D$1048576,4,0)</f>
        <v>342</v>
      </c>
      <c r="E12" s="84" t="n">
        <v>0.95</v>
      </c>
      <c r="F12" s="84" t="n">
        <v>1.15</v>
      </c>
      <c r="G12" s="84" t="n">
        <v>2.1</v>
      </c>
      <c r="H12" s="84" t="n">
        <v>1.5</v>
      </c>
      <c r="I12" s="85" t="n">
        <v>1.1</v>
      </c>
      <c r="J12" s="85" t="n">
        <v>4.5</v>
      </c>
      <c r="K12" s="85" t="n">
        <v>0.95</v>
      </c>
      <c r="L12" s="85" t="n">
        <v>1.5</v>
      </c>
      <c r="M12" s="85" t="n">
        <v>2.1</v>
      </c>
      <c r="N12" s="103" t="n">
        <v>1.35</v>
      </c>
      <c r="O12" s="58" t="n">
        <f aca="false">D12*E12</f>
        <v>324.9</v>
      </c>
      <c r="P12" s="58" t="n">
        <f aca="false">$D12*F12</f>
        <v>393.3</v>
      </c>
      <c r="Q12" s="58" t="n">
        <f aca="false">$D12*G12</f>
        <v>718.2</v>
      </c>
      <c r="R12" s="58" t="n">
        <f aca="false">$D12*H12</f>
        <v>513</v>
      </c>
      <c r="S12" s="58" t="n">
        <f aca="false">$D12*I12</f>
        <v>376.2</v>
      </c>
      <c r="T12" s="58" t="n">
        <f aca="false">$D12*J12</f>
        <v>1539</v>
      </c>
      <c r="U12" s="58" t="n">
        <f aca="false">$D12*K12</f>
        <v>324.9</v>
      </c>
      <c r="V12" s="58" t="n">
        <f aca="false">$D12*L12</f>
        <v>513</v>
      </c>
      <c r="W12" s="58" t="n">
        <f aca="false">$D12*M12</f>
        <v>718.2</v>
      </c>
      <c r="X12" s="91" t="n">
        <f aca="false">$D12*N12</f>
        <v>461.7</v>
      </c>
      <c r="Y12" s="94" t="n">
        <f aca="false">Z12/$Y$2</f>
        <v>0.583687239531653</v>
      </c>
      <c r="Z12" s="58" t="n">
        <f aca="false">SUM(O12:X12)</f>
        <v>5882.4</v>
      </c>
    </row>
    <row r="13" customFormat="false" ht="15" hidden="false" customHeight="false" outlineLevel="0" collapsed="false">
      <c r="H13" s="93"/>
    </row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</sheetData>
  <mergeCells count="5">
    <mergeCell ref="A1:D2"/>
    <mergeCell ref="E1:N2"/>
    <mergeCell ref="O1:X1"/>
    <mergeCell ref="Y1:Z1"/>
    <mergeCell ref="Y2:Z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Z9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C4" activeCellId="0" sqref="C4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44"/>
    <col collapsed="false" customWidth="true" hidden="false" outlineLevel="0" max="3" min="3" style="0" width="16.87"/>
    <col collapsed="false" customWidth="true" hidden="false" outlineLevel="0" max="4" min="4" style="0" width="8.71"/>
    <col collapsed="false" customWidth="true" hidden="false" outlineLevel="0" max="5" min="5" style="0" width="5.28"/>
    <col collapsed="false" customWidth="true" hidden="false" outlineLevel="0" max="13" min="6" style="0" width="5.43"/>
    <col collapsed="false" customWidth="true" hidden="false" outlineLevel="0" max="14" min="14" style="0" width="5.57"/>
    <col collapsed="false" customWidth="true" hidden="false" outlineLevel="0" max="16" min="15" style="0" width="14.57"/>
    <col collapsed="false" customWidth="true" hidden="false" outlineLevel="0" max="23" min="17" style="0" width="15.71"/>
    <col collapsed="false" customWidth="true" hidden="false" outlineLevel="0" max="24" min="24" style="0" width="14.57"/>
    <col collapsed="false" customWidth="true" hidden="false" outlineLevel="0" max="25" min="25" style="0" width="13.7"/>
    <col collapsed="false" customWidth="true" hidden="false" outlineLevel="0" max="26" min="26" style="0" width="15.57"/>
  </cols>
  <sheetData>
    <row r="1" customFormat="false" ht="15.75" hidden="false" customHeight="true" outlineLevel="0" collapsed="false">
      <c r="A1" s="89" t="s">
        <v>120</v>
      </c>
      <c r="B1" s="89"/>
      <c r="C1" s="89"/>
      <c r="D1" s="89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90" t="s">
        <v>30</v>
      </c>
      <c r="P1" s="90"/>
      <c r="Q1" s="90"/>
      <c r="R1" s="90"/>
      <c r="S1" s="90"/>
      <c r="T1" s="90"/>
      <c r="U1" s="90"/>
      <c r="V1" s="90"/>
      <c r="W1" s="90"/>
      <c r="X1" s="90"/>
      <c r="Y1" s="37" t="s">
        <v>31</v>
      </c>
      <c r="Z1" s="37"/>
    </row>
    <row r="2" customFormat="false" ht="15" hidden="false" customHeight="true" outlineLevel="0" collapsed="false">
      <c r="A2" s="89"/>
      <c r="B2" s="89"/>
      <c r="C2" s="89"/>
      <c r="D2" s="89"/>
      <c r="E2" s="86"/>
      <c r="F2" s="86"/>
      <c r="G2" s="86"/>
      <c r="H2" s="86"/>
      <c r="I2" s="86"/>
      <c r="J2" s="86"/>
      <c r="K2" s="86"/>
      <c r="L2" s="86"/>
      <c r="M2" s="86"/>
      <c r="N2" s="86"/>
      <c r="O2" s="43" t="n">
        <f aca="false">MROUND(SUM(O4:O12),1)</f>
        <v>600</v>
      </c>
      <c r="P2" s="43" t="n">
        <f aca="false">MROUND(SUM(P4:P12),1)</f>
        <v>788</v>
      </c>
      <c r="Q2" s="43" t="n">
        <f aca="false">MROUND(SUM(Q4:Q12),1)</f>
        <v>1161</v>
      </c>
      <c r="R2" s="43" t="n">
        <f aca="false">MROUND(SUM(R4:R12),1)</f>
        <v>908</v>
      </c>
      <c r="S2" s="43" t="n">
        <f aca="false">MROUND(SUM(S4:S12),1)</f>
        <v>652</v>
      </c>
      <c r="T2" s="43" t="n">
        <f aca="false">MROUND(SUM(T4:T12),1)</f>
        <v>2377</v>
      </c>
      <c r="U2" s="43" t="n">
        <f aca="false">MROUND(SUM(U4:U12),1)</f>
        <v>600</v>
      </c>
      <c r="V2" s="43" t="n">
        <f aca="false">MROUND(SUM(V4:V12),1)</f>
        <v>908</v>
      </c>
      <c r="W2" s="43" t="n">
        <f aca="false">MROUND(SUM(W4:W12),1)</f>
        <v>1161</v>
      </c>
      <c r="X2" s="43" t="n">
        <f aca="false">MROUND(SUM(X4:X12),1)</f>
        <v>856</v>
      </c>
      <c r="Y2" s="44" t="n">
        <f aca="false">SUM(O2:X2)</f>
        <v>10011</v>
      </c>
      <c r="Z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n">
        <v>10000</v>
      </c>
      <c r="P3" s="48" t="n">
        <v>20000</v>
      </c>
      <c r="Q3" s="48" t="n">
        <v>30000</v>
      </c>
      <c r="R3" s="48" t="n">
        <v>40000</v>
      </c>
      <c r="S3" s="48" t="n">
        <v>50000</v>
      </c>
      <c r="T3" s="48" t="n">
        <v>60000</v>
      </c>
      <c r="U3" s="48" t="n">
        <v>70000</v>
      </c>
      <c r="V3" s="48" t="n">
        <v>80000</v>
      </c>
      <c r="W3" s="48" t="n">
        <v>90000</v>
      </c>
      <c r="X3" s="48" t="n">
        <v>100000</v>
      </c>
      <c r="Y3" s="51" t="s">
        <v>46</v>
      </c>
      <c r="Z3" s="45" t="s">
        <v>47</v>
      </c>
    </row>
    <row r="4" customFormat="false" ht="15" hidden="false" customHeight="false" outlineLevel="0" collapsed="false">
      <c r="A4" s="52" t="n">
        <v>1</v>
      </c>
      <c r="B4" s="53" t="s">
        <v>92</v>
      </c>
      <c r="C4" s="54" t="s">
        <v>121</v>
      </c>
      <c r="D4" s="55" t="n">
        <f aca="false">VLOOKUP(C4,'[1]PREÇO ATUAL'!$A$1:$D$1048576,4,0)</f>
        <v>41.9</v>
      </c>
      <c r="E4" s="56"/>
      <c r="F4" s="56"/>
      <c r="G4" s="56" t="n">
        <v>4</v>
      </c>
      <c r="H4" s="56"/>
      <c r="I4" s="57"/>
      <c r="J4" s="57" t="n">
        <v>4</v>
      </c>
      <c r="K4" s="57"/>
      <c r="L4" s="57"/>
      <c r="M4" s="57" t="n">
        <v>4</v>
      </c>
      <c r="N4" s="96"/>
      <c r="O4" s="58" t="n">
        <f aca="false">$D4*E4</f>
        <v>0</v>
      </c>
      <c r="P4" s="58" t="n">
        <f aca="false">$D4*F4</f>
        <v>0</v>
      </c>
      <c r="Q4" s="58" t="n">
        <f aca="false">$D4*G4</f>
        <v>167.6</v>
      </c>
      <c r="R4" s="58" t="n">
        <f aca="false">$D4*H4</f>
        <v>0</v>
      </c>
      <c r="S4" s="58" t="n">
        <f aca="false">$D4*I4</f>
        <v>0</v>
      </c>
      <c r="T4" s="58" t="n">
        <f aca="false">$D4*J4</f>
        <v>167.6</v>
      </c>
      <c r="U4" s="58" t="n">
        <f aca="false">$D4*K4</f>
        <v>0</v>
      </c>
      <c r="V4" s="58" t="n">
        <f aca="false">$D4*L4</f>
        <v>0</v>
      </c>
      <c r="W4" s="58" t="n">
        <f aca="false">$D4*M4</f>
        <v>167.6</v>
      </c>
      <c r="X4" s="91" t="n">
        <f aca="false">$D4*N4</f>
        <v>0</v>
      </c>
      <c r="Y4" s="94" t="n">
        <f aca="false">Z4/$Y$2</f>
        <v>0.0502247527719509</v>
      </c>
      <c r="Z4" s="58" t="n">
        <f aca="false">SUM(O4:X4)</f>
        <v>502.8</v>
      </c>
    </row>
    <row r="5" customFormat="false" ht="15" hidden="false" customHeight="false" outlineLevel="0" collapsed="false">
      <c r="A5" s="60" t="n">
        <v>2</v>
      </c>
      <c r="B5" s="61" t="s">
        <v>96</v>
      </c>
      <c r="C5" s="62" t="s">
        <v>97</v>
      </c>
      <c r="D5" s="63" t="n">
        <f aca="false">VLOOKUP(C5,'[1]PREÇO ATUAL'!$A$1:$D$1048576,4,0)</f>
        <v>71.2</v>
      </c>
      <c r="E5" s="64" t="n">
        <v>1</v>
      </c>
      <c r="F5" s="64" t="n">
        <v>1</v>
      </c>
      <c r="G5" s="64" t="n">
        <v>1</v>
      </c>
      <c r="H5" s="64" t="n">
        <v>1</v>
      </c>
      <c r="I5" s="65" t="n">
        <v>1</v>
      </c>
      <c r="J5" s="65" t="n">
        <v>1</v>
      </c>
      <c r="K5" s="65" t="n">
        <v>1</v>
      </c>
      <c r="L5" s="65" t="n">
        <v>1</v>
      </c>
      <c r="M5" s="65" t="n">
        <v>1</v>
      </c>
      <c r="N5" s="97" t="n">
        <v>1</v>
      </c>
      <c r="O5" s="66" t="n">
        <f aca="false">$D5*E5</f>
        <v>71.2</v>
      </c>
      <c r="P5" s="66" t="n">
        <f aca="false">$D5*F5</f>
        <v>71.2</v>
      </c>
      <c r="Q5" s="66" t="n">
        <f aca="false">$D5*G5</f>
        <v>71.2</v>
      </c>
      <c r="R5" s="66" t="n">
        <f aca="false">$D5*H5</f>
        <v>71.2</v>
      </c>
      <c r="S5" s="66" t="n">
        <f aca="false">$D5*I5</f>
        <v>71.2</v>
      </c>
      <c r="T5" s="66" t="n">
        <f aca="false">$D5*J5</f>
        <v>71.2</v>
      </c>
      <c r="U5" s="66" t="n">
        <f aca="false">$D5*K5</f>
        <v>71.2</v>
      </c>
      <c r="V5" s="66" t="n">
        <f aca="false">$D5*L5</f>
        <v>71.2</v>
      </c>
      <c r="W5" s="66" t="n">
        <f aca="false">$D5*M5</f>
        <v>71.2</v>
      </c>
      <c r="X5" s="92" t="n">
        <f aca="false">$D5*N5</f>
        <v>71.2</v>
      </c>
      <c r="Y5" s="95" t="n">
        <f aca="false">Z5/$Y$2</f>
        <v>0.0711217660573369</v>
      </c>
      <c r="Z5" s="66" t="n">
        <f aca="false">SUM(O5:X5)</f>
        <v>712</v>
      </c>
    </row>
    <row r="6" customFormat="false" ht="15" hidden="false" customHeight="false" outlineLevel="0" collapsed="false">
      <c r="A6" s="52" t="n">
        <v>3</v>
      </c>
      <c r="B6" s="53" t="s">
        <v>98</v>
      </c>
      <c r="C6" s="54" t="s">
        <v>51</v>
      </c>
      <c r="D6" s="55" t="n">
        <f aca="false">VLOOKUP(C6,'[1]PREÇO ATUAL'!$A$1:$D$1048576,4,0)</f>
        <v>35.9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96" t="n">
        <v>1</v>
      </c>
      <c r="O6" s="58" t="n">
        <f aca="false">$D6*E6</f>
        <v>0</v>
      </c>
      <c r="P6" s="58" t="n">
        <f aca="false">$D6*F6</f>
        <v>35.9</v>
      </c>
      <c r="Q6" s="58" t="n">
        <f aca="false">$D6*G6</f>
        <v>0</v>
      </c>
      <c r="R6" s="58" t="n">
        <f aca="false">$D6*H6</f>
        <v>35.9</v>
      </c>
      <c r="S6" s="58" t="n">
        <f aca="false">$D6*I6</f>
        <v>0</v>
      </c>
      <c r="T6" s="58" t="n">
        <f aca="false">$D6*J6</f>
        <v>35.9</v>
      </c>
      <c r="U6" s="58" t="n">
        <f aca="false">$D6*K6</f>
        <v>0</v>
      </c>
      <c r="V6" s="58" t="n">
        <f aca="false">$D6*L6</f>
        <v>35.9</v>
      </c>
      <c r="W6" s="58" t="n">
        <f aca="false">$D6*M6</f>
        <v>0</v>
      </c>
      <c r="X6" s="91" t="n">
        <f aca="false">$D6*N6</f>
        <v>35.9</v>
      </c>
      <c r="Y6" s="94" t="n">
        <f aca="false">Z6/$Y$2</f>
        <v>0.0179302766956348</v>
      </c>
      <c r="Z6" s="58" t="n">
        <f aca="false">SUM(O6:X6)</f>
        <v>179.5</v>
      </c>
    </row>
    <row r="7" customFormat="false" ht="15.75" hidden="false" customHeight="true" outlineLevel="0" collapsed="false">
      <c r="A7" s="60" t="n">
        <v>4</v>
      </c>
      <c r="B7" s="61" t="s">
        <v>99</v>
      </c>
      <c r="C7" s="62" t="s">
        <v>100</v>
      </c>
      <c r="D7" s="63" t="n">
        <f aca="false">VLOOKUP(C7,'[1]PREÇO ATUAL'!$A$1:$D$1048576,4,0)</f>
        <v>83.06</v>
      </c>
      <c r="E7" s="64"/>
      <c r="F7" s="64" t="n">
        <v>1</v>
      </c>
      <c r="G7" s="64"/>
      <c r="H7" s="64" t="n">
        <v>1</v>
      </c>
      <c r="I7" s="65"/>
      <c r="J7" s="65" t="n">
        <v>1</v>
      </c>
      <c r="K7" s="65"/>
      <c r="L7" s="65" t="n">
        <v>1</v>
      </c>
      <c r="M7" s="65"/>
      <c r="N7" s="97" t="n">
        <v>1</v>
      </c>
      <c r="O7" s="66" t="n">
        <f aca="false">$D7*E7</f>
        <v>0</v>
      </c>
      <c r="P7" s="66" t="n">
        <f aca="false">$D7*F7</f>
        <v>83.06</v>
      </c>
      <c r="Q7" s="66" t="n">
        <f aca="false">$D7*G7</f>
        <v>0</v>
      </c>
      <c r="R7" s="66" t="n">
        <f aca="false">$D7*H7</f>
        <v>83.06</v>
      </c>
      <c r="S7" s="66" t="n">
        <f aca="false">$D7*I7</f>
        <v>0</v>
      </c>
      <c r="T7" s="66" t="n">
        <f aca="false">$D7*J7</f>
        <v>83.06</v>
      </c>
      <c r="U7" s="66" t="n">
        <f aca="false">$D7*K7</f>
        <v>0</v>
      </c>
      <c r="V7" s="66" t="n">
        <f aca="false">$D7*L7</f>
        <v>83.06</v>
      </c>
      <c r="W7" s="66" t="n">
        <f aca="false">$D7*M7</f>
        <v>0</v>
      </c>
      <c r="X7" s="92" t="n">
        <f aca="false">$D7*N7</f>
        <v>83.06</v>
      </c>
      <c r="Y7" s="95" t="n">
        <f aca="false">Z7/$Y$2</f>
        <v>0.0414843671960843</v>
      </c>
      <c r="Z7" s="66" t="n">
        <f aca="false">SUM(O7:X7)</f>
        <v>415.3</v>
      </c>
    </row>
    <row r="8" customFormat="false" ht="15.75" hidden="false" customHeight="true" outlineLevel="0" collapsed="false">
      <c r="A8" s="52" t="n">
        <v>5</v>
      </c>
      <c r="B8" s="53" t="s">
        <v>101</v>
      </c>
      <c r="C8" s="54" t="s">
        <v>102</v>
      </c>
      <c r="D8" s="55" t="n">
        <f aca="false">VLOOKUP(C8,'[1]PREÇO ATUAL'!$A$1:$D$1048576,4,0)</f>
        <v>139.9</v>
      </c>
      <c r="E8" s="56"/>
      <c r="F8" s="56"/>
      <c r="G8" s="56"/>
      <c r="H8" s="56"/>
      <c r="I8" s="57"/>
      <c r="J8" s="57" t="n">
        <v>1</v>
      </c>
      <c r="K8" s="57"/>
      <c r="L8" s="57"/>
      <c r="M8" s="57"/>
      <c r="N8" s="96"/>
      <c r="O8" s="58" t="n">
        <f aca="false">$D8*E8</f>
        <v>0</v>
      </c>
      <c r="P8" s="58" t="n">
        <f aca="false">$D8*F8</f>
        <v>0</v>
      </c>
      <c r="Q8" s="58" t="n">
        <f aca="false">$D8*G8</f>
        <v>0</v>
      </c>
      <c r="R8" s="58" t="n">
        <f aca="false">$D8*H8</f>
        <v>0</v>
      </c>
      <c r="S8" s="58" t="n">
        <f aca="false">$D8*I8</f>
        <v>0</v>
      </c>
      <c r="T8" s="58" t="n">
        <f aca="false">$D8*J8</f>
        <v>139.9</v>
      </c>
      <c r="U8" s="58" t="n">
        <f aca="false">$D8*K8</f>
        <v>0</v>
      </c>
      <c r="V8" s="58" t="n">
        <f aca="false">$D8*L8</f>
        <v>0</v>
      </c>
      <c r="W8" s="58" t="n">
        <f aca="false">$D8*M8</f>
        <v>0</v>
      </c>
      <c r="X8" s="91" t="n">
        <f aca="false">$D8*N8</f>
        <v>0</v>
      </c>
      <c r="Y8" s="94" t="n">
        <f aca="false">Z8/$Y$2</f>
        <v>0.0139746279092998</v>
      </c>
      <c r="Z8" s="58" t="n">
        <f aca="false">SUM(O8:X8)</f>
        <v>139.9</v>
      </c>
    </row>
    <row r="9" customFormat="false" ht="15.75" hidden="false" customHeight="true" outlineLevel="0" collapsed="false">
      <c r="A9" s="60" t="n">
        <v>6</v>
      </c>
      <c r="B9" s="61" t="s">
        <v>94</v>
      </c>
      <c r="C9" s="62" t="s">
        <v>95</v>
      </c>
      <c r="D9" s="63" t="n">
        <f aca="false">VLOOKUP(C9,'[1]PREÇO ATUAL'!$A$1:$D$1048576,4,0)</f>
        <v>136.4</v>
      </c>
      <c r="E9" s="64"/>
      <c r="F9" s="64"/>
      <c r="G9" s="64"/>
      <c r="H9" s="64"/>
      <c r="I9" s="65"/>
      <c r="J9" s="65" t="n">
        <v>1</v>
      </c>
      <c r="K9" s="65"/>
      <c r="L9" s="65"/>
      <c r="M9" s="65"/>
      <c r="N9" s="97"/>
      <c r="O9" s="66" t="n">
        <f aca="false">$D9*E9</f>
        <v>0</v>
      </c>
      <c r="P9" s="66" t="n">
        <f aca="false">$D9*F9</f>
        <v>0</v>
      </c>
      <c r="Q9" s="66" t="n">
        <f aca="false">$D9*G9</f>
        <v>0</v>
      </c>
      <c r="R9" s="66" t="n">
        <f aca="false">$D9*H9</f>
        <v>0</v>
      </c>
      <c r="S9" s="66" t="n">
        <f aca="false">$D9*I9</f>
        <v>0</v>
      </c>
      <c r="T9" s="66" t="n">
        <f aca="false">$D9*J9</f>
        <v>136.4</v>
      </c>
      <c r="U9" s="66" t="n">
        <f aca="false">$D9*K9</f>
        <v>0</v>
      </c>
      <c r="V9" s="66" t="n">
        <f aca="false">$D9*L9</f>
        <v>0</v>
      </c>
      <c r="W9" s="66" t="n">
        <f aca="false">$D9*M9</f>
        <v>0</v>
      </c>
      <c r="X9" s="92" t="n">
        <f aca="false">$D9*N9</f>
        <v>0</v>
      </c>
      <c r="Y9" s="95" t="n">
        <f aca="false">Z9/$Y$2</f>
        <v>0.0136250124862651</v>
      </c>
      <c r="Z9" s="66" t="n">
        <f aca="false">SUM(O9:X9)</f>
        <v>136.4</v>
      </c>
    </row>
    <row r="10" customFormat="false" ht="15.75" hidden="false" customHeight="true" outlineLevel="0" collapsed="false">
      <c r="A10" s="52" t="n">
        <v>7</v>
      </c>
      <c r="B10" s="53" t="s">
        <v>89</v>
      </c>
      <c r="C10" s="54" t="s">
        <v>90</v>
      </c>
      <c r="D10" s="55" t="n">
        <f aca="false">VLOOKUP(C10,'[1]PREÇO ATUAL'!$A$1:$D$1048576,4,0)</f>
        <v>75.7</v>
      </c>
      <c r="E10" s="104" t="n">
        <v>2.7</v>
      </c>
      <c r="F10" s="104" t="n">
        <v>2.7</v>
      </c>
      <c r="G10" s="104" t="n">
        <v>2.7</v>
      </c>
      <c r="H10" s="104" t="n">
        <v>2.7</v>
      </c>
      <c r="I10" s="105" t="n">
        <v>2.7</v>
      </c>
      <c r="J10" s="105" t="n">
        <v>2.7</v>
      </c>
      <c r="K10" s="105" t="n">
        <v>2.7</v>
      </c>
      <c r="L10" s="105" t="n">
        <v>2.7</v>
      </c>
      <c r="M10" s="105" t="n">
        <v>2.7</v>
      </c>
      <c r="N10" s="106" t="n">
        <v>2.7</v>
      </c>
      <c r="O10" s="58" t="n">
        <f aca="false">$D10*E10</f>
        <v>204.39</v>
      </c>
      <c r="P10" s="58" t="n">
        <f aca="false">$D10*F10</f>
        <v>204.39</v>
      </c>
      <c r="Q10" s="58" t="n">
        <f aca="false">$D10*G10</f>
        <v>204.39</v>
      </c>
      <c r="R10" s="58" t="n">
        <f aca="false">$D10*H10</f>
        <v>204.39</v>
      </c>
      <c r="S10" s="58" t="n">
        <f aca="false">$D10*I10</f>
        <v>204.39</v>
      </c>
      <c r="T10" s="58" t="n">
        <f aca="false">$D10*J10</f>
        <v>204.39</v>
      </c>
      <c r="U10" s="58" t="n">
        <f aca="false">$D10*K10</f>
        <v>204.39</v>
      </c>
      <c r="V10" s="58" t="n">
        <f aca="false">$D10*L10</f>
        <v>204.39</v>
      </c>
      <c r="W10" s="58" t="n">
        <f aca="false">$D10*M10</f>
        <v>204.39</v>
      </c>
      <c r="X10" s="91" t="n">
        <f aca="false">$D10*N10</f>
        <v>204.39</v>
      </c>
      <c r="Y10" s="94" t="n">
        <f aca="false">Z10/$Y$2</f>
        <v>0.204165418040156</v>
      </c>
      <c r="Z10" s="58" t="n">
        <f aca="false">SUM(O10:X10)</f>
        <v>2043.9</v>
      </c>
    </row>
    <row r="11" customFormat="false" ht="15.75" hidden="false" customHeight="true" outlineLevel="0" collapsed="false">
      <c r="A11" s="60" t="n">
        <v>8</v>
      </c>
      <c r="B11" s="61" t="s">
        <v>60</v>
      </c>
      <c r="C11" s="62" t="s">
        <v>61</v>
      </c>
      <c r="D11" s="63" t="n">
        <f aca="false">VLOOKUP(C11,'[1]PREÇO ATUAL'!$A$1:$D$1048576,4,0)</f>
        <v>33.6224930838505</v>
      </c>
      <c r="E11" s="64"/>
      <c r="F11" s="64"/>
      <c r="G11" s="64"/>
      <c r="H11" s="64"/>
      <c r="I11" s="65"/>
      <c r="J11" s="65"/>
      <c r="K11" s="65"/>
      <c r="L11" s="65"/>
      <c r="M11" s="65"/>
      <c r="N11" s="97"/>
      <c r="O11" s="66" t="n">
        <f aca="false">$D11*E11</f>
        <v>0</v>
      </c>
      <c r="P11" s="66" t="n">
        <f aca="false">$D11*F11</f>
        <v>0</v>
      </c>
      <c r="Q11" s="66" t="n">
        <f aca="false">$D11*G11</f>
        <v>0</v>
      </c>
      <c r="R11" s="66" t="n">
        <f aca="false">$D11*H11</f>
        <v>0</v>
      </c>
      <c r="S11" s="66" t="n">
        <f aca="false">$D11*I11</f>
        <v>0</v>
      </c>
      <c r="T11" s="66" t="n">
        <f aca="false">$D11*J11</f>
        <v>0</v>
      </c>
      <c r="U11" s="66" t="n">
        <f aca="false">$D11*K11</f>
        <v>0</v>
      </c>
      <c r="V11" s="66" t="n">
        <f aca="false">$D11*L11</f>
        <v>0</v>
      </c>
      <c r="W11" s="66" t="n">
        <f aca="false">$D11*M11</f>
        <v>0</v>
      </c>
      <c r="X11" s="92" t="n">
        <f aca="false">$D11*N11</f>
        <v>0</v>
      </c>
      <c r="Y11" s="95" t="n">
        <f aca="false">Z11/$Y$2</f>
        <v>0</v>
      </c>
      <c r="Z11" s="66" t="n">
        <f aca="false">SUM(O11:X11)</f>
        <v>0</v>
      </c>
    </row>
    <row r="12" customFormat="false" ht="15.75" hidden="false" customHeight="true" outlineLevel="0" collapsed="false">
      <c r="A12" s="52" t="n">
        <v>9</v>
      </c>
      <c r="B12" s="53" t="s">
        <v>64</v>
      </c>
      <c r="C12" s="54" t="s">
        <v>65</v>
      </c>
      <c r="D12" s="55" t="n">
        <f aca="false">VLOOKUP(C12,'[1]PREÇO ATUAL'!$A$1:$D$1048576,4,0)</f>
        <v>342</v>
      </c>
      <c r="E12" s="69" t="n">
        <v>0.95</v>
      </c>
      <c r="F12" s="69" t="n">
        <v>1.15</v>
      </c>
      <c r="G12" s="69" t="n">
        <v>2.1</v>
      </c>
      <c r="H12" s="69" t="n">
        <v>1.5</v>
      </c>
      <c r="I12" s="55" t="n">
        <v>1.1</v>
      </c>
      <c r="J12" s="55" t="n">
        <v>4.5</v>
      </c>
      <c r="K12" s="55" t="n">
        <v>0.95</v>
      </c>
      <c r="L12" s="55" t="n">
        <v>1.5</v>
      </c>
      <c r="M12" s="55" t="n">
        <v>2.1</v>
      </c>
      <c r="N12" s="107" t="n">
        <v>1.35</v>
      </c>
      <c r="O12" s="58" t="n">
        <f aca="false">D12*E12</f>
        <v>324.9</v>
      </c>
      <c r="P12" s="58" t="n">
        <f aca="false">$D12*F12</f>
        <v>393.3</v>
      </c>
      <c r="Q12" s="58" t="n">
        <f aca="false">$D12*G12</f>
        <v>718.2</v>
      </c>
      <c r="R12" s="58" t="n">
        <f aca="false">$D12*H12</f>
        <v>513</v>
      </c>
      <c r="S12" s="58" t="n">
        <f aca="false">$D12*I12</f>
        <v>376.2</v>
      </c>
      <c r="T12" s="58" t="n">
        <f aca="false">$D12*J12</f>
        <v>1539</v>
      </c>
      <c r="U12" s="58" t="n">
        <f aca="false">$D12*K12</f>
        <v>324.9</v>
      </c>
      <c r="V12" s="58" t="n">
        <f aca="false">$D12*L12</f>
        <v>513</v>
      </c>
      <c r="W12" s="58" t="n">
        <f aca="false">$D12*M12</f>
        <v>718.2</v>
      </c>
      <c r="X12" s="91" t="n">
        <f aca="false">$D12*N12</f>
        <v>461.7</v>
      </c>
      <c r="Y12" s="94" t="n">
        <f aca="false">Z12/$Y$2</f>
        <v>0.587593646988313</v>
      </c>
      <c r="Z12" s="58" t="n">
        <f aca="false">SUM(O12:X12)</f>
        <v>5882.4</v>
      </c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</sheetData>
  <mergeCells count="5">
    <mergeCell ref="A1:D2"/>
    <mergeCell ref="E1:N2"/>
    <mergeCell ref="O1:X1"/>
    <mergeCell ref="Y1:Z1"/>
    <mergeCell ref="Y2:Z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J9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C4" activeCellId="0" sqref="C4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50"/>
    <col collapsed="false" customWidth="true" hidden="false" outlineLevel="0" max="3" min="3" style="0" width="16.87"/>
    <col collapsed="false" customWidth="true" hidden="false" outlineLevel="0" max="4" min="4" style="0" width="8.71"/>
    <col collapsed="false" customWidth="true" hidden="false" outlineLevel="0" max="19" min="5" style="0" width="5.14"/>
    <col collapsed="false" customWidth="true" hidden="false" outlineLevel="0" max="20" min="20" style="0" width="14.15"/>
    <col collapsed="false" customWidth="true" hidden="false" outlineLevel="0" max="22" min="21" style="0" width="13.43"/>
    <col collapsed="false" customWidth="true" hidden="false" outlineLevel="0" max="23" min="23" style="0" width="15.42"/>
    <col collapsed="false" customWidth="true" hidden="false" outlineLevel="0" max="24" min="24" style="0" width="13.43"/>
    <col collapsed="false" customWidth="true" hidden="false" outlineLevel="0" max="25" min="25" style="0" width="15.42"/>
    <col collapsed="false" customWidth="true" hidden="false" outlineLevel="0" max="26" min="26" style="0" width="13.43"/>
    <col collapsed="false" customWidth="true" hidden="false" outlineLevel="0" max="27" min="27" style="0" width="15.42"/>
    <col collapsed="false" customWidth="true" hidden="false" outlineLevel="0" max="28" min="28" style="0" width="15.71"/>
    <col collapsed="false" customWidth="true" hidden="false" outlineLevel="0" max="30" min="29" style="0" width="14.57"/>
    <col collapsed="false" customWidth="true" hidden="false" outlineLevel="0" max="31" min="31" style="0" width="15.71"/>
    <col collapsed="false" customWidth="true" hidden="false" outlineLevel="0" max="34" min="32" style="0" width="14.57"/>
    <col collapsed="false" customWidth="true" hidden="false" outlineLevel="0" max="35" min="35" style="0" width="9.13"/>
    <col collapsed="false" customWidth="true" hidden="false" outlineLevel="0" max="36" min="36" style="0" width="15.57"/>
  </cols>
  <sheetData>
    <row r="1" customFormat="false" ht="15.75" hidden="false" customHeight="true" outlineLevel="0" collapsed="false">
      <c r="A1" s="89" t="s">
        <v>122</v>
      </c>
      <c r="B1" s="89"/>
      <c r="C1" s="89"/>
      <c r="D1" s="89"/>
      <c r="E1" s="35" t="s">
        <v>29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6" t="s">
        <v>30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 t="s">
        <v>31</v>
      </c>
      <c r="AJ1" s="37"/>
    </row>
    <row r="2" customFormat="false" ht="15" hidden="false" customHeight="true" outlineLevel="0" collapsed="false">
      <c r="A2" s="89"/>
      <c r="B2" s="89"/>
      <c r="C2" s="89"/>
      <c r="D2" s="89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43" t="n">
        <f aca="false">MROUND(SUM(T4:T11),1)</f>
        <v>746</v>
      </c>
      <c r="U2" s="43" t="n">
        <f aca="false">MROUND(SUM(U4:U11),1)</f>
        <v>764</v>
      </c>
      <c r="V2" s="43" t="n">
        <f aca="false">MROUND(SUM(V4:V11),1)</f>
        <v>927</v>
      </c>
      <c r="W2" s="43" t="n">
        <f aca="false">MROUND(SUM(W4:W11),1)</f>
        <v>764</v>
      </c>
      <c r="X2" s="43" t="n">
        <f aca="false">MROUND(SUM(X4:X11),1)</f>
        <v>781</v>
      </c>
      <c r="Y2" s="43" t="n">
        <f aca="false">MROUND(SUM(Y4:Y11),1)</f>
        <v>1460</v>
      </c>
      <c r="Z2" s="43" t="n">
        <f aca="false">MROUND(SUM(Z4:Z11),1)</f>
        <v>746</v>
      </c>
      <c r="AA2" s="43" t="n">
        <f aca="false">MROUND(SUM(AA4:AA11),1)</f>
        <v>764</v>
      </c>
      <c r="AB2" s="43" t="n">
        <f aca="false">MROUND(SUM(AB4:AB11),1)</f>
        <v>927</v>
      </c>
      <c r="AC2" s="43" t="n">
        <f aca="false">MROUND(SUM(AC4:AC11),1)</f>
        <v>798</v>
      </c>
      <c r="AD2" s="43" t="n">
        <f aca="false">MROUND(SUM(AD4:AD11),1)</f>
        <v>746</v>
      </c>
      <c r="AE2" s="43" t="n">
        <f aca="false">MROUND(SUM(AE4:AE11),1)</f>
        <v>1895</v>
      </c>
      <c r="AF2" s="43" t="n">
        <f aca="false">MROUND(SUM(AF4:AF11),1)</f>
        <v>746</v>
      </c>
      <c r="AG2" s="43" t="n">
        <f aca="false">MROUND(SUM(AG4:AG11),1)</f>
        <v>764</v>
      </c>
      <c r="AH2" s="43" t="n">
        <f aca="false">MROUND(SUM(AH4:AH11),1)</f>
        <v>961</v>
      </c>
      <c r="AI2" s="44" t="n">
        <f aca="false">SUM(T2:AH2)</f>
        <v>13789</v>
      </c>
      <c r="AJ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n">
        <v>11</v>
      </c>
      <c r="P3" s="48" t="n">
        <v>12</v>
      </c>
      <c r="Q3" s="48" t="n">
        <v>13</v>
      </c>
      <c r="R3" s="48" t="n">
        <v>14</v>
      </c>
      <c r="S3" s="48" t="n">
        <v>15</v>
      </c>
      <c r="T3" s="48" t="n">
        <v>10000</v>
      </c>
      <c r="U3" s="48" t="n">
        <v>20000</v>
      </c>
      <c r="V3" s="48" t="n">
        <v>30000</v>
      </c>
      <c r="W3" s="48" t="n">
        <v>40000</v>
      </c>
      <c r="X3" s="48" t="n">
        <v>50000</v>
      </c>
      <c r="Y3" s="48" t="n">
        <v>60000</v>
      </c>
      <c r="Z3" s="48" t="n">
        <v>70000</v>
      </c>
      <c r="AA3" s="48" t="n">
        <v>80000</v>
      </c>
      <c r="AB3" s="48" t="n">
        <v>90000</v>
      </c>
      <c r="AC3" s="48" t="n">
        <v>100000</v>
      </c>
      <c r="AD3" s="50" t="n">
        <f aca="false">AC3+10000</f>
        <v>110000</v>
      </c>
      <c r="AE3" s="50" t="n">
        <f aca="false">AD3+10000</f>
        <v>120000</v>
      </c>
      <c r="AF3" s="50" t="n">
        <f aca="false">AE3+10000</f>
        <v>130000</v>
      </c>
      <c r="AG3" s="50" t="n">
        <f aca="false">AF3+10000</f>
        <v>140000</v>
      </c>
      <c r="AH3" s="50" t="n">
        <f aca="false">AG3+10000</f>
        <v>150000</v>
      </c>
      <c r="AI3" s="51" t="n">
        <f aca="false">SUM(AI4:AI11)</f>
        <v>0.999856134600043</v>
      </c>
      <c r="AJ3" s="45" t="s">
        <v>47</v>
      </c>
    </row>
    <row r="4" customFormat="false" ht="15" hidden="false" customHeight="false" outlineLevel="0" collapsed="false">
      <c r="A4" s="52" t="n">
        <v>1</v>
      </c>
      <c r="B4" s="53" t="s">
        <v>48</v>
      </c>
      <c r="C4" s="54" t="s">
        <v>123</v>
      </c>
      <c r="D4" s="55" t="n">
        <f aca="false">VLOOKUP(C4,'[1]PREÇO ATUAL'!$A$1:$D$1048576,4,0)</f>
        <v>112.46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6" t="n">
        <v>1</v>
      </c>
      <c r="O4" s="80" t="n">
        <v>1</v>
      </c>
      <c r="P4" s="57" t="n">
        <v>1</v>
      </c>
      <c r="Q4" s="96" t="n">
        <v>1</v>
      </c>
      <c r="R4" s="57" t="n">
        <v>1</v>
      </c>
      <c r="S4" s="57" t="n">
        <v>1</v>
      </c>
      <c r="T4" s="58" t="n">
        <f aca="false">$D4*E4</f>
        <v>112.46</v>
      </c>
      <c r="U4" s="58" t="n">
        <f aca="false">$D4*F4</f>
        <v>112.46</v>
      </c>
      <c r="V4" s="58" t="n">
        <f aca="false">$D4*G4</f>
        <v>112.46</v>
      </c>
      <c r="W4" s="58" t="n">
        <f aca="false">$D4*H4</f>
        <v>112.46</v>
      </c>
      <c r="X4" s="58" t="n">
        <f aca="false">$D4*I4</f>
        <v>112.46</v>
      </c>
      <c r="Y4" s="58" t="n">
        <f aca="false">$D4*J4</f>
        <v>112.46</v>
      </c>
      <c r="Z4" s="58" t="n">
        <f aca="false">$D4*K4</f>
        <v>112.46</v>
      </c>
      <c r="AA4" s="58" t="n">
        <f aca="false">$D4*L4</f>
        <v>112.46</v>
      </c>
      <c r="AB4" s="58" t="n">
        <f aca="false">$D4*M4</f>
        <v>112.46</v>
      </c>
      <c r="AC4" s="58" t="n">
        <f aca="false">$D4*N4</f>
        <v>112.46</v>
      </c>
      <c r="AD4" s="58" t="n">
        <f aca="false">$D4*O4</f>
        <v>112.46</v>
      </c>
      <c r="AE4" s="58" t="n">
        <f aca="false">$D4*P4</f>
        <v>112.46</v>
      </c>
      <c r="AF4" s="58" t="n">
        <f aca="false">$D4*Q4</f>
        <v>112.46</v>
      </c>
      <c r="AG4" s="58" t="n">
        <f aca="false">$D4*R4</f>
        <v>112.46</v>
      </c>
      <c r="AH4" s="58" t="n">
        <f aca="false">$D4*S4</f>
        <v>112.46</v>
      </c>
      <c r="AI4" s="94" t="n">
        <f aca="false">AJ4/$AI$2</f>
        <v>0.122336645151933</v>
      </c>
      <c r="AJ4" s="58" t="n">
        <f aca="false">SUM(T4:AH4)</f>
        <v>1686.9</v>
      </c>
    </row>
    <row r="5" customFormat="false" ht="15" hidden="false" customHeight="false" outlineLevel="0" collapsed="false">
      <c r="A5" s="60" t="n">
        <v>2</v>
      </c>
      <c r="B5" s="61" t="s">
        <v>50</v>
      </c>
      <c r="C5" s="62" t="s">
        <v>124</v>
      </c>
      <c r="D5" s="63" t="n">
        <f aca="false">VLOOKUP(C5,'[1]PREÇO ATUAL'!$A$1:$D$1048576,4,0)</f>
        <v>35.9</v>
      </c>
      <c r="E5" s="64" t="n">
        <v>1</v>
      </c>
      <c r="F5" s="64" t="n">
        <v>1</v>
      </c>
      <c r="G5" s="64" t="n">
        <v>1</v>
      </c>
      <c r="H5" s="64" t="n">
        <v>1</v>
      </c>
      <c r="I5" s="65" t="n">
        <v>1</v>
      </c>
      <c r="J5" s="65" t="n">
        <v>1</v>
      </c>
      <c r="K5" s="65" t="n">
        <v>1</v>
      </c>
      <c r="L5" s="65" t="n">
        <v>1</v>
      </c>
      <c r="M5" s="65" t="n">
        <v>1</v>
      </c>
      <c r="N5" s="64" t="n">
        <v>1</v>
      </c>
      <c r="O5" s="79" t="n">
        <v>1</v>
      </c>
      <c r="P5" s="65" t="n">
        <v>1</v>
      </c>
      <c r="Q5" s="97" t="n">
        <v>1</v>
      </c>
      <c r="R5" s="65" t="n">
        <v>1</v>
      </c>
      <c r="S5" s="65" t="n">
        <v>1</v>
      </c>
      <c r="T5" s="66" t="n">
        <f aca="false">$D5*E5</f>
        <v>35.9</v>
      </c>
      <c r="U5" s="66" t="n">
        <f aca="false">$D5*F5</f>
        <v>35.9</v>
      </c>
      <c r="V5" s="66" t="n">
        <f aca="false">$D5*G5</f>
        <v>35.9</v>
      </c>
      <c r="W5" s="66" t="n">
        <f aca="false">$D5*H5</f>
        <v>35.9</v>
      </c>
      <c r="X5" s="66" t="n">
        <f aca="false">$D5*I5</f>
        <v>35.9</v>
      </c>
      <c r="Y5" s="66" t="n">
        <f aca="false">$D5*J5</f>
        <v>35.9</v>
      </c>
      <c r="Z5" s="66" t="n">
        <f aca="false">$D5*K5</f>
        <v>35.9</v>
      </c>
      <c r="AA5" s="66" t="n">
        <f aca="false">$D5*L5</f>
        <v>35.9</v>
      </c>
      <c r="AB5" s="66" t="n">
        <f aca="false">$D5*M5</f>
        <v>35.9</v>
      </c>
      <c r="AC5" s="66" t="n">
        <f aca="false">$D5*N5</f>
        <v>35.9</v>
      </c>
      <c r="AD5" s="66" t="n">
        <f aca="false">$D5*O5</f>
        <v>35.9</v>
      </c>
      <c r="AE5" s="66" t="n">
        <f aca="false">$D5*P5</f>
        <v>35.9</v>
      </c>
      <c r="AF5" s="66" t="n">
        <f aca="false">$D5*Q5</f>
        <v>35.9</v>
      </c>
      <c r="AG5" s="66" t="n">
        <f aca="false">$D5*R5</f>
        <v>35.9</v>
      </c>
      <c r="AH5" s="66" t="n">
        <f aca="false">$D5*S5</f>
        <v>35.9</v>
      </c>
      <c r="AI5" s="95" t="n">
        <f aca="false">AJ5/$AI$2</f>
        <v>0.0390528682282979</v>
      </c>
      <c r="AJ5" s="66" t="n">
        <f aca="false">SUM(T5:AH5)</f>
        <v>538.5</v>
      </c>
    </row>
    <row r="6" customFormat="false" ht="15" hidden="false" customHeight="false" outlineLevel="0" collapsed="false">
      <c r="A6" s="52" t="n">
        <v>3</v>
      </c>
      <c r="B6" s="53" t="s">
        <v>52</v>
      </c>
      <c r="C6" s="54" t="s">
        <v>125</v>
      </c>
      <c r="D6" s="55" t="n">
        <f aca="false">VLOOKUP(C6,'[1]PREÇO ATUAL'!$A$1:$D$1048576,4,0)</f>
        <v>180.21</v>
      </c>
      <c r="E6" s="56"/>
      <c r="F6" s="56"/>
      <c r="G6" s="56" t="n">
        <v>1</v>
      </c>
      <c r="H6" s="56"/>
      <c r="I6" s="57"/>
      <c r="J6" s="57" t="n">
        <v>1</v>
      </c>
      <c r="K6" s="57"/>
      <c r="L6" s="57"/>
      <c r="M6" s="57" t="n">
        <v>1</v>
      </c>
      <c r="N6" s="56"/>
      <c r="O6" s="80"/>
      <c r="P6" s="57" t="n">
        <v>1</v>
      </c>
      <c r="Q6" s="57"/>
      <c r="R6" s="57"/>
      <c r="S6" s="57" t="n">
        <v>1</v>
      </c>
      <c r="T6" s="58" t="n">
        <f aca="false">$D6*E6</f>
        <v>0</v>
      </c>
      <c r="U6" s="58" t="n">
        <f aca="false">$D6*F6</f>
        <v>0</v>
      </c>
      <c r="V6" s="58" t="n">
        <f aca="false">$D6*G6</f>
        <v>180.21</v>
      </c>
      <c r="W6" s="58" t="n">
        <f aca="false">$D6*H6</f>
        <v>0</v>
      </c>
      <c r="X6" s="58" t="n">
        <f aca="false">$D6*I6</f>
        <v>0</v>
      </c>
      <c r="Y6" s="58" t="n">
        <f aca="false">$D6*J6</f>
        <v>180.21</v>
      </c>
      <c r="Z6" s="58" t="n">
        <f aca="false">$D6*K6</f>
        <v>0</v>
      </c>
      <c r="AA6" s="58" t="n">
        <f aca="false">$D6*L6</f>
        <v>0</v>
      </c>
      <c r="AB6" s="58" t="n">
        <f aca="false">$D6*M6</f>
        <v>180.21</v>
      </c>
      <c r="AC6" s="58" t="n">
        <f aca="false">$D6*N6</f>
        <v>0</v>
      </c>
      <c r="AD6" s="58" t="n">
        <f aca="false">$D6*O6</f>
        <v>0</v>
      </c>
      <c r="AE6" s="58" t="n">
        <f aca="false">$D6*P6</f>
        <v>180.21</v>
      </c>
      <c r="AF6" s="58" t="n">
        <f aca="false">$D6*Q6</f>
        <v>0</v>
      </c>
      <c r="AG6" s="58" t="n">
        <f aca="false">$D6*R6</f>
        <v>0</v>
      </c>
      <c r="AH6" s="58" t="n">
        <f aca="false">$D6*S6</f>
        <v>180.21</v>
      </c>
      <c r="AI6" s="94" t="n">
        <f aca="false">AJ6/$AI$2</f>
        <v>0.0653455653056785</v>
      </c>
      <c r="AJ6" s="58" t="n">
        <f aca="false">SUM(T6:AH6)</f>
        <v>901.05</v>
      </c>
    </row>
    <row r="7" customFormat="false" ht="15" hidden="false" customHeight="false" outlineLevel="0" collapsed="false">
      <c r="A7" s="60" t="n">
        <v>4</v>
      </c>
      <c r="B7" s="61" t="s">
        <v>54</v>
      </c>
      <c r="C7" s="62" t="s">
        <v>126</v>
      </c>
      <c r="D7" s="63" t="n">
        <f aca="false">VLOOKUP(C7,'[1]PREÇO ATUAL'!$A$1:$D$1048576,4,0)</f>
        <v>155.01</v>
      </c>
      <c r="E7" s="64"/>
      <c r="F7" s="64"/>
      <c r="G7" s="64"/>
      <c r="H7" s="64"/>
      <c r="I7" s="65"/>
      <c r="J7" s="65" t="n">
        <v>3</v>
      </c>
      <c r="K7" s="65"/>
      <c r="L7" s="65"/>
      <c r="M7" s="65"/>
      <c r="N7" s="64"/>
      <c r="O7" s="79"/>
      <c r="P7" s="65" t="n">
        <v>3</v>
      </c>
      <c r="Q7" s="65"/>
      <c r="R7" s="65"/>
      <c r="S7" s="65"/>
      <c r="T7" s="66" t="n">
        <f aca="false">$D7*E7</f>
        <v>0</v>
      </c>
      <c r="U7" s="66" t="n">
        <f aca="false">$D7*F7</f>
        <v>0</v>
      </c>
      <c r="V7" s="66" t="n">
        <f aca="false">$D7*G7</f>
        <v>0</v>
      </c>
      <c r="W7" s="66" t="n">
        <f aca="false">$D7*H7</f>
        <v>0</v>
      </c>
      <c r="X7" s="66" t="n">
        <f aca="false">$D7*I7</f>
        <v>0</v>
      </c>
      <c r="Y7" s="66" t="n">
        <f aca="false">$D7*J7</f>
        <v>465.03</v>
      </c>
      <c r="Z7" s="66" t="n">
        <f aca="false">$D7*K7</f>
        <v>0</v>
      </c>
      <c r="AA7" s="66" t="n">
        <f aca="false">$D7*L7</f>
        <v>0</v>
      </c>
      <c r="AB7" s="66" t="n">
        <f aca="false">$D7*M7</f>
        <v>0</v>
      </c>
      <c r="AC7" s="66" t="n">
        <f aca="false">$D7*N7</f>
        <v>0</v>
      </c>
      <c r="AD7" s="66" t="n">
        <f aca="false">$D7*O7</f>
        <v>0</v>
      </c>
      <c r="AE7" s="66" t="n">
        <f aca="false">$D7*P7</f>
        <v>465.03</v>
      </c>
      <c r="AF7" s="66" t="n">
        <f aca="false">$D7*Q7</f>
        <v>0</v>
      </c>
      <c r="AG7" s="66" t="n">
        <f aca="false">$D7*R7</f>
        <v>0</v>
      </c>
      <c r="AH7" s="66" t="n">
        <f aca="false">$D7*S7</f>
        <v>0</v>
      </c>
      <c r="AI7" s="95" t="n">
        <f aca="false">AJ7/$AI$2</f>
        <v>0.0674494162013199</v>
      </c>
      <c r="AJ7" s="66" t="n">
        <f aca="false">SUM(T7:AH7)</f>
        <v>930.06</v>
      </c>
    </row>
    <row r="8" customFormat="false" ht="15" hidden="false" customHeight="false" outlineLevel="0" collapsed="false">
      <c r="A8" s="52" t="n">
        <v>5</v>
      </c>
      <c r="B8" s="53" t="s">
        <v>73</v>
      </c>
      <c r="C8" s="54" t="s">
        <v>59</v>
      </c>
      <c r="D8" s="55" t="n">
        <f aca="false">VLOOKUP(C8,'[1]PREÇO ATUAL'!$A$1:$D$1048576,4,0)</f>
        <v>165.97812</v>
      </c>
      <c r="E8" s="56"/>
      <c r="F8" s="56"/>
      <c r="G8" s="56"/>
      <c r="H8" s="56"/>
      <c r="I8" s="57"/>
      <c r="J8" s="57"/>
      <c r="K8" s="57"/>
      <c r="L8" s="57"/>
      <c r="M8" s="57"/>
      <c r="N8" s="56"/>
      <c r="O8" s="80"/>
      <c r="P8" s="109" t="n">
        <v>2</v>
      </c>
      <c r="Q8" s="57"/>
      <c r="R8" s="57"/>
      <c r="S8" s="57"/>
      <c r="T8" s="58" t="n">
        <f aca="false">$D8*E8</f>
        <v>0</v>
      </c>
      <c r="U8" s="58" t="n">
        <f aca="false">$D8*F8</f>
        <v>0</v>
      </c>
      <c r="V8" s="58" t="n">
        <f aca="false">$D8*G8</f>
        <v>0</v>
      </c>
      <c r="W8" s="58" t="n">
        <f aca="false">$D8*H8</f>
        <v>0</v>
      </c>
      <c r="X8" s="58" t="n">
        <f aca="false">$D8*I8</f>
        <v>0</v>
      </c>
      <c r="Y8" s="58" t="n">
        <f aca="false">$D8*J8</f>
        <v>0</v>
      </c>
      <c r="Z8" s="58" t="n">
        <f aca="false">$D8*K8</f>
        <v>0</v>
      </c>
      <c r="AA8" s="58" t="n">
        <f aca="false">$D8*L8</f>
        <v>0</v>
      </c>
      <c r="AB8" s="58" t="n">
        <f aca="false">$D8*M8</f>
        <v>0</v>
      </c>
      <c r="AC8" s="58" t="n">
        <f aca="false">$D8*N8</f>
        <v>0</v>
      </c>
      <c r="AD8" s="58" t="n">
        <f aca="false">$D8*O8</f>
        <v>0</v>
      </c>
      <c r="AE8" s="58" t="n">
        <f aca="false">$D8*P8</f>
        <v>331.95624</v>
      </c>
      <c r="AF8" s="58" t="n">
        <f aca="false">$D8*Q8</f>
        <v>0</v>
      </c>
      <c r="AG8" s="58" t="n">
        <f aca="false">$D8*R8</f>
        <v>0</v>
      </c>
      <c r="AH8" s="58" t="n">
        <f aca="false">$D8*S8</f>
        <v>0</v>
      </c>
      <c r="AI8" s="94" t="n">
        <f aca="false">AJ8/$AI$2</f>
        <v>0.02407398941185</v>
      </c>
      <c r="AJ8" s="58" t="n">
        <f aca="false">SUM(T8:AH8)</f>
        <v>331.95624</v>
      </c>
    </row>
    <row r="9" customFormat="false" ht="15" hidden="false" customHeight="false" outlineLevel="0" collapsed="false">
      <c r="A9" s="60" t="n">
        <v>6</v>
      </c>
      <c r="B9" s="61" t="s">
        <v>60</v>
      </c>
      <c r="C9" s="62" t="s">
        <v>61</v>
      </c>
      <c r="D9" s="63" t="n">
        <f aca="false">VLOOKUP(C9,'[1]PREÇO ATUAL'!$A$1:$D$1048576,4,0)</f>
        <v>33.6224930838505</v>
      </c>
      <c r="E9" s="64"/>
      <c r="F9" s="64"/>
      <c r="G9" s="64"/>
      <c r="H9" s="64"/>
      <c r="I9" s="65"/>
      <c r="J9" s="65"/>
      <c r="K9" s="65"/>
      <c r="L9" s="65"/>
      <c r="M9" s="65"/>
      <c r="N9" s="64"/>
      <c r="O9" s="79"/>
      <c r="P9" s="65"/>
      <c r="Q9" s="65"/>
      <c r="R9" s="65"/>
      <c r="S9" s="65"/>
      <c r="T9" s="66" t="n">
        <f aca="false">$D9*E9</f>
        <v>0</v>
      </c>
      <c r="U9" s="66" t="n">
        <f aca="false">$D9*F9</f>
        <v>0</v>
      </c>
      <c r="V9" s="66" t="n">
        <f aca="false">$D9*G9</f>
        <v>0</v>
      </c>
      <c r="W9" s="66" t="n">
        <f aca="false">$D9*H9</f>
        <v>0</v>
      </c>
      <c r="X9" s="66" t="n">
        <f aca="false">$D9*I9</f>
        <v>0</v>
      </c>
      <c r="Y9" s="66" t="n">
        <f aca="false">$D9*J9</f>
        <v>0</v>
      </c>
      <c r="Z9" s="66" t="n">
        <f aca="false">$D9*K9</f>
        <v>0</v>
      </c>
      <c r="AA9" s="66" t="n">
        <f aca="false">$D9*L9</f>
        <v>0</v>
      </c>
      <c r="AB9" s="66" t="n">
        <f aca="false">$D9*M9</f>
        <v>0</v>
      </c>
      <c r="AC9" s="66" t="n">
        <f aca="false">$D9*N9</f>
        <v>0</v>
      </c>
      <c r="AD9" s="66" t="n">
        <f aca="false">$D9*O9</f>
        <v>0</v>
      </c>
      <c r="AE9" s="66" t="n">
        <f aca="false">$D9*P9</f>
        <v>0</v>
      </c>
      <c r="AF9" s="66" t="n">
        <f aca="false">$D9*Q9</f>
        <v>0</v>
      </c>
      <c r="AG9" s="66" t="n">
        <f aca="false">$D9*R9</f>
        <v>0</v>
      </c>
      <c r="AH9" s="66" t="n">
        <f aca="false">$D9*S9</f>
        <v>0</v>
      </c>
      <c r="AI9" s="95" t="n">
        <f aca="false">AJ9/$AI$2</f>
        <v>0</v>
      </c>
      <c r="AJ9" s="66" t="n">
        <f aca="false">SUM(T9:AH9)</f>
        <v>0</v>
      </c>
    </row>
    <row r="10" customFormat="false" ht="15" hidden="false" customHeight="false" outlineLevel="0" collapsed="false">
      <c r="A10" s="52" t="n">
        <v>7</v>
      </c>
      <c r="B10" s="53" t="s">
        <v>127</v>
      </c>
      <c r="C10" s="54" t="s">
        <v>128</v>
      </c>
      <c r="D10" s="55" t="n">
        <f aca="false">VLOOKUP(C10,'[1]PREÇO ATUAL'!$A$1:$D$1048576,4,0)</f>
        <v>87.82</v>
      </c>
      <c r="E10" s="84" t="n">
        <v>3.5</v>
      </c>
      <c r="F10" s="84" t="n">
        <v>3.5</v>
      </c>
      <c r="G10" s="84" t="n">
        <v>3.5</v>
      </c>
      <c r="H10" s="84" t="n">
        <v>3.5</v>
      </c>
      <c r="I10" s="85" t="n">
        <v>3.5</v>
      </c>
      <c r="J10" s="85" t="n">
        <v>3.5</v>
      </c>
      <c r="K10" s="85" t="n">
        <v>3.5</v>
      </c>
      <c r="L10" s="85" t="n">
        <v>3.5</v>
      </c>
      <c r="M10" s="85" t="n">
        <v>3.5</v>
      </c>
      <c r="N10" s="84" t="n">
        <v>3.5</v>
      </c>
      <c r="O10" s="110" t="n">
        <v>3.5</v>
      </c>
      <c r="P10" s="85" t="n">
        <v>3.5</v>
      </c>
      <c r="Q10" s="85" t="n">
        <v>3.5</v>
      </c>
      <c r="R10" s="85" t="n">
        <v>3.5</v>
      </c>
      <c r="S10" s="85" t="n">
        <v>3.5</v>
      </c>
      <c r="T10" s="58" t="n">
        <f aca="false">$D10*E10</f>
        <v>307.37</v>
      </c>
      <c r="U10" s="58" t="n">
        <f aca="false">$D10*F10</f>
        <v>307.37</v>
      </c>
      <c r="V10" s="58" t="n">
        <f aca="false">$D10*G10</f>
        <v>307.37</v>
      </c>
      <c r="W10" s="58" t="n">
        <f aca="false">$D10*H10</f>
        <v>307.37</v>
      </c>
      <c r="X10" s="58" t="n">
        <f aca="false">$D10*I10</f>
        <v>307.37</v>
      </c>
      <c r="Y10" s="58" t="n">
        <f aca="false">$D10*J10</f>
        <v>307.37</v>
      </c>
      <c r="Z10" s="58" t="n">
        <f aca="false">$D10*K10</f>
        <v>307.37</v>
      </c>
      <c r="AA10" s="58" t="n">
        <f aca="false">$D10*L10</f>
        <v>307.37</v>
      </c>
      <c r="AB10" s="58" t="n">
        <f aca="false">$D10*M10</f>
        <v>307.37</v>
      </c>
      <c r="AC10" s="58" t="n">
        <f aca="false">$D10*N10</f>
        <v>307.37</v>
      </c>
      <c r="AD10" s="58" t="n">
        <f aca="false">$D10*O10</f>
        <v>307.37</v>
      </c>
      <c r="AE10" s="58" t="n">
        <f aca="false">$D10*P10</f>
        <v>307.37</v>
      </c>
      <c r="AF10" s="58" t="n">
        <f aca="false">$D10*Q10</f>
        <v>307.37</v>
      </c>
      <c r="AG10" s="58" t="n">
        <f aca="false">$D10*R10</f>
        <v>307.37</v>
      </c>
      <c r="AH10" s="58" t="n">
        <f aca="false">$D10*S10</f>
        <v>307.37</v>
      </c>
      <c r="AI10" s="94" t="n">
        <f aca="false">AJ10/$AI$2</f>
        <v>0.334364348393647</v>
      </c>
      <c r="AJ10" s="58" t="n">
        <f aca="false">SUM(T10:AH10)</f>
        <v>4610.55</v>
      </c>
    </row>
    <row r="11" customFormat="false" ht="15" hidden="false" customHeight="false" outlineLevel="0" collapsed="false">
      <c r="A11" s="60" t="n">
        <v>8</v>
      </c>
      <c r="B11" s="61" t="s">
        <v>64</v>
      </c>
      <c r="C11" s="62" t="s">
        <v>65</v>
      </c>
      <c r="D11" s="63" t="n">
        <f aca="false">VLOOKUP(C11,'[1]PREÇO ATUAL'!$A$1:$D$1048576,4,0)</f>
        <v>342</v>
      </c>
      <c r="E11" s="82" t="n">
        <v>0.85</v>
      </c>
      <c r="F11" s="82" t="n">
        <v>0.9</v>
      </c>
      <c r="G11" s="82" t="n">
        <v>0.85</v>
      </c>
      <c r="H11" s="82" t="n">
        <v>0.9</v>
      </c>
      <c r="I11" s="83" t="n">
        <v>0.95</v>
      </c>
      <c r="J11" s="83" t="n">
        <v>1.05</v>
      </c>
      <c r="K11" s="83" t="n">
        <v>0.85</v>
      </c>
      <c r="L11" s="83" t="n">
        <v>0.9</v>
      </c>
      <c r="M11" s="83" t="n">
        <v>0.85</v>
      </c>
      <c r="N11" s="82" t="n">
        <v>1</v>
      </c>
      <c r="O11" s="111" t="n">
        <v>0.85</v>
      </c>
      <c r="P11" s="83" t="n">
        <v>1.35</v>
      </c>
      <c r="Q11" s="83" t="n">
        <v>0.85</v>
      </c>
      <c r="R11" s="83" t="n">
        <v>0.9</v>
      </c>
      <c r="S11" s="83" t="n">
        <v>0.95</v>
      </c>
      <c r="T11" s="66" t="n">
        <f aca="false">D11*E11</f>
        <v>290.7</v>
      </c>
      <c r="U11" s="66" t="n">
        <f aca="false">$D11*F11</f>
        <v>307.8</v>
      </c>
      <c r="V11" s="66" t="n">
        <f aca="false">$D11*G11</f>
        <v>290.7</v>
      </c>
      <c r="W11" s="66" t="n">
        <f aca="false">$D11*H11</f>
        <v>307.8</v>
      </c>
      <c r="X11" s="66" t="n">
        <f aca="false">$D11*I11</f>
        <v>324.9</v>
      </c>
      <c r="Y11" s="66" t="n">
        <f aca="false">$D11*J11</f>
        <v>359.1</v>
      </c>
      <c r="Z11" s="66" t="n">
        <f aca="false">$D11*K11</f>
        <v>290.7</v>
      </c>
      <c r="AA11" s="66" t="n">
        <f aca="false">$D11*L11</f>
        <v>307.8</v>
      </c>
      <c r="AB11" s="66" t="n">
        <f aca="false">$D11*M11</f>
        <v>290.7</v>
      </c>
      <c r="AC11" s="112" t="n">
        <f aca="false">$D11*N11</f>
        <v>342</v>
      </c>
      <c r="AD11" s="112" t="n">
        <f aca="false">$D11*O11</f>
        <v>290.7</v>
      </c>
      <c r="AE11" s="112" t="n">
        <f aca="false">$D11*P11</f>
        <v>461.7</v>
      </c>
      <c r="AF11" s="112" t="n">
        <f aca="false">$D11*Q11</f>
        <v>290.7</v>
      </c>
      <c r="AG11" s="112" t="n">
        <f aca="false">$D11*R11</f>
        <v>307.8</v>
      </c>
      <c r="AH11" s="112" t="n">
        <f aca="false">$D11*S11</f>
        <v>324.9</v>
      </c>
      <c r="AI11" s="95" t="n">
        <f aca="false">AJ11/$AI$2</f>
        <v>0.347233301907317</v>
      </c>
      <c r="AJ11" s="66" t="n">
        <f aca="false">SUM(T11:AH11)</f>
        <v>4788</v>
      </c>
    </row>
    <row r="12" customFormat="false" ht="15" hidden="false" customHeight="false" outlineLevel="0" collapsed="false">
      <c r="H12" s="71"/>
      <c r="L12" s="71"/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</sheetData>
  <mergeCells count="5">
    <mergeCell ref="A1:D2"/>
    <mergeCell ref="E1:S1"/>
    <mergeCell ref="T1:AH1"/>
    <mergeCell ref="AI1:AJ1"/>
    <mergeCell ref="AI2:AJ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J9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A1" activeCellId="0" sqref="A1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60.59"/>
    <col collapsed="false" customWidth="true" hidden="false" outlineLevel="0" max="3" min="3" style="0" width="16.87"/>
    <col collapsed="false" customWidth="true" hidden="false" outlineLevel="0" max="4" min="4" style="0" width="8.71"/>
    <col collapsed="false" customWidth="true" hidden="false" outlineLevel="0" max="19" min="5" style="0" width="5.14"/>
    <col collapsed="false" customWidth="true" hidden="false" outlineLevel="0" max="22" min="20" style="0" width="14.57"/>
    <col collapsed="false" customWidth="true" hidden="false" outlineLevel="0" max="23" min="23" style="0" width="17.13"/>
    <col collapsed="false" customWidth="true" hidden="false" outlineLevel="0" max="24" min="24" style="0" width="15.71"/>
    <col collapsed="false" customWidth="true" hidden="false" outlineLevel="0" max="25" min="25" style="0" width="16.87"/>
    <col collapsed="false" customWidth="true" hidden="false" outlineLevel="0" max="26" min="26" style="0" width="15.71"/>
    <col collapsed="false" customWidth="true" hidden="false" outlineLevel="0" max="27" min="27" style="0" width="17.13"/>
    <col collapsed="false" customWidth="true" hidden="false" outlineLevel="0" max="28" min="28" style="0" width="15.71"/>
    <col collapsed="false" customWidth="true" hidden="false" outlineLevel="0" max="30" min="29" style="0" width="14.57"/>
    <col collapsed="false" customWidth="true" hidden="false" outlineLevel="0" max="31" min="31" style="0" width="15.71"/>
    <col collapsed="false" customWidth="true" hidden="false" outlineLevel="0" max="33" min="32" style="0" width="14.57"/>
    <col collapsed="false" customWidth="true" hidden="false" outlineLevel="0" max="34" min="34" style="0" width="15.71"/>
    <col collapsed="false" customWidth="true" hidden="false" outlineLevel="0" max="35" min="35" style="0" width="9.13"/>
    <col collapsed="false" customWidth="true" hidden="false" outlineLevel="0" max="36" min="36" style="0" width="15.57"/>
  </cols>
  <sheetData>
    <row r="1" customFormat="false" ht="15.75" hidden="false" customHeight="true" outlineLevel="0" collapsed="false">
      <c r="A1" s="74" t="s">
        <v>129</v>
      </c>
      <c r="B1" s="74"/>
      <c r="C1" s="74"/>
      <c r="D1" s="74"/>
      <c r="E1" s="35" t="s">
        <v>29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6" t="s">
        <v>30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 t="s">
        <v>31</v>
      </c>
      <c r="AJ1" s="37"/>
    </row>
    <row r="2" customFormat="false" ht="15" hidden="false" customHeight="true" outlineLevel="0" collapsed="false">
      <c r="A2" s="74"/>
      <c r="B2" s="74"/>
      <c r="C2" s="74"/>
      <c r="D2" s="74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44" t="n">
        <f aca="false">MROUND(SUM(T4:T11),1)</f>
        <v>627</v>
      </c>
      <c r="U2" s="43" t="n">
        <f aca="false">MROUND(SUM(U4:U11),1)</f>
        <v>821</v>
      </c>
      <c r="V2" s="43" t="n">
        <f aca="false">MROUND(SUM(V4:V11),1)</f>
        <v>644</v>
      </c>
      <c r="W2" s="43" t="n">
        <f aca="false">MROUND(SUM(W4:W11),1)</f>
        <v>1644</v>
      </c>
      <c r="X2" s="43" t="n">
        <f aca="false">MROUND(SUM(X4:X11),1)</f>
        <v>678</v>
      </c>
      <c r="Y2" s="43" t="n">
        <f aca="false">MROUND(SUM(Y4:Y11),1)</f>
        <v>998</v>
      </c>
      <c r="Z2" s="43" t="n">
        <f aca="false">MROUND(SUM(Z4:Z11),1)</f>
        <v>627</v>
      </c>
      <c r="AA2" s="43" t="n">
        <f aca="false">MROUND(SUM(AA4:AA11),1)</f>
        <v>1644</v>
      </c>
      <c r="AB2" s="43" t="n">
        <f aca="false">MROUND(SUM(AB4:AB11),1)</f>
        <v>644</v>
      </c>
      <c r="AC2" s="43" t="n">
        <f aca="false">MROUND(SUM(AC4:AC11),1)</f>
        <v>872</v>
      </c>
      <c r="AD2" s="44" t="n">
        <f aca="false">MROUND(SUM(AD4:AD11),1)</f>
        <v>627</v>
      </c>
      <c r="AE2" s="113" t="n">
        <f aca="false">MROUND(SUM(AE4:AE11),1)</f>
        <v>1890</v>
      </c>
      <c r="AF2" s="113" t="n">
        <f aca="false">MROUND(SUM(AF4:AF11),1)</f>
        <v>627</v>
      </c>
      <c r="AG2" s="113" t="n">
        <f aca="false">MROUND(SUM(AG4:AG11),1)</f>
        <v>821</v>
      </c>
      <c r="AH2" s="114" t="n">
        <f aca="false">MROUND(SUM(AH4:AH11),1)</f>
        <v>695</v>
      </c>
      <c r="AI2" s="44" t="n">
        <f aca="false">SUM(T2:AH2)</f>
        <v>13859</v>
      </c>
      <c r="AJ2" s="44"/>
    </row>
    <row r="3" customFormat="false" ht="15" hidden="false" customHeight="false" outlineLevel="0" collapsed="false">
      <c r="A3" s="45" t="s">
        <v>130</v>
      </c>
      <c r="B3" s="45" t="s">
        <v>33</v>
      </c>
      <c r="C3" s="46" t="s">
        <v>34</v>
      </c>
      <c r="D3" s="47" t="s">
        <v>35</v>
      </c>
      <c r="E3" s="49" t="s">
        <v>36</v>
      </c>
      <c r="F3" s="49" t="s">
        <v>37</v>
      </c>
      <c r="G3" s="49" t="s">
        <v>38</v>
      </c>
      <c r="H3" s="49" t="s">
        <v>39</v>
      </c>
      <c r="I3" s="49" t="s">
        <v>40</v>
      </c>
      <c r="J3" s="49" t="s">
        <v>41</v>
      </c>
      <c r="K3" s="49" t="s">
        <v>42</v>
      </c>
      <c r="L3" s="49" t="s">
        <v>43</v>
      </c>
      <c r="M3" s="49" t="s">
        <v>44</v>
      </c>
      <c r="N3" s="49" t="s">
        <v>45</v>
      </c>
      <c r="O3" s="49" t="n">
        <v>11</v>
      </c>
      <c r="P3" s="49" t="n">
        <v>12</v>
      </c>
      <c r="Q3" s="49" t="n">
        <v>13</v>
      </c>
      <c r="R3" s="49" t="n">
        <v>14</v>
      </c>
      <c r="S3" s="49" t="n">
        <v>15</v>
      </c>
      <c r="T3" s="48" t="n">
        <v>10000</v>
      </c>
      <c r="U3" s="48" t="n">
        <v>20000</v>
      </c>
      <c r="V3" s="48" t="n">
        <v>30000</v>
      </c>
      <c r="W3" s="48" t="n">
        <v>40000</v>
      </c>
      <c r="X3" s="48" t="n">
        <v>50000</v>
      </c>
      <c r="Y3" s="48" t="n">
        <v>60000</v>
      </c>
      <c r="Z3" s="48" t="n">
        <v>70000</v>
      </c>
      <c r="AA3" s="48" t="n">
        <v>80000</v>
      </c>
      <c r="AB3" s="48" t="n">
        <v>90000</v>
      </c>
      <c r="AC3" s="48" t="n">
        <v>100000</v>
      </c>
      <c r="AD3" s="50" t="n">
        <f aca="false">AC3+10000</f>
        <v>110000</v>
      </c>
      <c r="AE3" s="48" t="n">
        <f aca="false">AD3+10000</f>
        <v>120000</v>
      </c>
      <c r="AF3" s="48" t="n">
        <f aca="false">AE3+10000</f>
        <v>130000</v>
      </c>
      <c r="AG3" s="48" t="n">
        <f aca="false">AF3+10000</f>
        <v>140000</v>
      </c>
      <c r="AH3" s="48" t="n">
        <f aca="false">AG3+10000</f>
        <v>150000</v>
      </c>
      <c r="AI3" s="51" t="n">
        <f aca="false">SUM(AI4:AI11)</f>
        <v>0.999766505519879</v>
      </c>
      <c r="AJ3" s="45" t="s">
        <v>47</v>
      </c>
    </row>
    <row r="4" customFormat="false" ht="15" hidden="false" customHeight="false" outlineLevel="0" collapsed="false">
      <c r="A4" s="52" t="n">
        <v>1</v>
      </c>
      <c r="B4" s="53" t="s">
        <v>48</v>
      </c>
      <c r="C4" s="54" t="s">
        <v>49</v>
      </c>
      <c r="D4" s="55" t="n">
        <f aca="false">VLOOKUP(C4,'[1]PREÇO ATUAL'!$A$1:$D$1048576,4,0)</f>
        <v>79.9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6" t="n">
        <v>1</v>
      </c>
      <c r="O4" s="56" t="n">
        <v>1</v>
      </c>
      <c r="P4" s="56" t="n">
        <v>1</v>
      </c>
      <c r="Q4" s="56" t="n">
        <v>1</v>
      </c>
      <c r="R4" s="56" t="n">
        <v>1</v>
      </c>
      <c r="S4" s="56" t="n">
        <v>1</v>
      </c>
      <c r="T4" s="58" t="n">
        <f aca="false">$D4*E4</f>
        <v>79.9</v>
      </c>
      <c r="U4" s="58" t="n">
        <f aca="false">$D4*F4</f>
        <v>79.9</v>
      </c>
      <c r="V4" s="58" t="n">
        <f aca="false">$D4*G4</f>
        <v>79.9</v>
      </c>
      <c r="W4" s="58" t="n">
        <f aca="false">$D4*H4</f>
        <v>79.9</v>
      </c>
      <c r="X4" s="58" t="n">
        <f aca="false">$D4*I4</f>
        <v>79.9</v>
      </c>
      <c r="Y4" s="58" t="n">
        <f aca="false">$D4*J4</f>
        <v>79.9</v>
      </c>
      <c r="Z4" s="58" t="n">
        <f aca="false">$D4*K4</f>
        <v>79.9</v>
      </c>
      <c r="AA4" s="58" t="n">
        <f aca="false">$D4*L4</f>
        <v>79.9</v>
      </c>
      <c r="AB4" s="58" t="n">
        <f aca="false">$D4*M4</f>
        <v>79.9</v>
      </c>
      <c r="AC4" s="58" t="n">
        <f aca="false">$D4*N4</f>
        <v>79.9</v>
      </c>
      <c r="AD4" s="115" t="n">
        <f aca="false">$D4*O4</f>
        <v>79.9</v>
      </c>
      <c r="AE4" s="58" t="n">
        <f aca="false">$D4*P4</f>
        <v>79.9</v>
      </c>
      <c r="AF4" s="58" t="n">
        <f aca="false">$D4*Q4</f>
        <v>79.9</v>
      </c>
      <c r="AG4" s="58" t="n">
        <f aca="false">$D4*R4</f>
        <v>79.9</v>
      </c>
      <c r="AH4" s="58" t="n">
        <f aca="false">$D4*S4</f>
        <v>79.9</v>
      </c>
      <c r="AI4" s="94" t="n">
        <f aca="false">AJ4/$AI$2</f>
        <v>0.0864781008730789</v>
      </c>
      <c r="AJ4" s="58" t="n">
        <f aca="false">SUM(T4:AH4)</f>
        <v>1198.5</v>
      </c>
    </row>
    <row r="5" customFormat="false" ht="15" hidden="false" customHeight="false" outlineLevel="0" collapsed="false">
      <c r="A5" s="60" t="n">
        <v>2</v>
      </c>
      <c r="B5" s="61" t="s">
        <v>50</v>
      </c>
      <c r="C5" s="62" t="s">
        <v>51</v>
      </c>
      <c r="D5" s="63" t="n">
        <f aca="false">VLOOKUP(C5,'[1]PREÇO ATUAL'!$A$1:$D$1048576,4,0)</f>
        <v>35.9</v>
      </c>
      <c r="E5" s="64"/>
      <c r="F5" s="64" t="n">
        <v>1</v>
      </c>
      <c r="G5" s="64"/>
      <c r="H5" s="64" t="n">
        <v>1</v>
      </c>
      <c r="I5" s="65"/>
      <c r="J5" s="65" t="n">
        <v>1</v>
      </c>
      <c r="K5" s="65"/>
      <c r="L5" s="65" t="n">
        <v>1</v>
      </c>
      <c r="M5" s="65"/>
      <c r="N5" s="64" t="n">
        <v>1</v>
      </c>
      <c r="O5" s="79"/>
      <c r="P5" s="64" t="n">
        <v>1</v>
      </c>
      <c r="Q5" s="65"/>
      <c r="R5" s="65" t="n">
        <v>1</v>
      </c>
      <c r="S5" s="65"/>
      <c r="T5" s="66" t="n">
        <f aca="false">$D5*E5</f>
        <v>0</v>
      </c>
      <c r="U5" s="66" t="n">
        <f aca="false">$D5*F5</f>
        <v>35.9</v>
      </c>
      <c r="V5" s="66" t="n">
        <f aca="false">$D5*G5</f>
        <v>0</v>
      </c>
      <c r="W5" s="66" t="n">
        <f aca="false">$D5*H5</f>
        <v>35.9</v>
      </c>
      <c r="X5" s="66" t="n">
        <f aca="false">$D5*I5</f>
        <v>0</v>
      </c>
      <c r="Y5" s="66" t="n">
        <f aca="false">$D5*J5</f>
        <v>35.9</v>
      </c>
      <c r="Z5" s="66" t="n">
        <f aca="false">$D5*K5</f>
        <v>0</v>
      </c>
      <c r="AA5" s="66" t="n">
        <f aca="false">$D5*L5</f>
        <v>35.9</v>
      </c>
      <c r="AB5" s="66" t="n">
        <f aca="false">$D5*M5</f>
        <v>0</v>
      </c>
      <c r="AC5" s="66" t="n">
        <f aca="false">$D5*N5</f>
        <v>35.9</v>
      </c>
      <c r="AD5" s="116" t="n">
        <f aca="false">$D5*O5</f>
        <v>0</v>
      </c>
      <c r="AE5" s="66" t="n">
        <f aca="false">$D5*P5</f>
        <v>35.9</v>
      </c>
      <c r="AF5" s="66" t="n">
        <f aca="false">$D5*Q5</f>
        <v>0</v>
      </c>
      <c r="AG5" s="66" t="n">
        <f aca="false">$D5*R5</f>
        <v>35.9</v>
      </c>
      <c r="AH5" s="66" t="n">
        <f aca="false">$D5*S5</f>
        <v>0</v>
      </c>
      <c r="AI5" s="95" t="n">
        <f aca="false">AJ5/$AI$2</f>
        <v>0.0181326214012555</v>
      </c>
      <c r="AJ5" s="66" t="n">
        <f aca="false">SUM(T5:AH5)</f>
        <v>251.3</v>
      </c>
    </row>
    <row r="6" customFormat="false" ht="15" hidden="false" customHeight="false" outlineLevel="0" collapsed="false">
      <c r="A6" s="52" t="n">
        <v>3</v>
      </c>
      <c r="B6" s="53" t="s">
        <v>52</v>
      </c>
      <c r="C6" s="54" t="s">
        <v>53</v>
      </c>
      <c r="D6" s="55" t="n">
        <f aca="false">VLOOKUP(C6,'[1]PREÇO ATUAL'!$A$1:$D$1048576,4,0)</f>
        <v>89.9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56" t="n">
        <v>1</v>
      </c>
      <c r="O6" s="80"/>
      <c r="P6" s="56" t="n">
        <v>1</v>
      </c>
      <c r="Q6" s="57"/>
      <c r="R6" s="57" t="n">
        <v>1</v>
      </c>
      <c r="S6" s="57"/>
      <c r="T6" s="58" t="n">
        <f aca="false">$D6*E6</f>
        <v>0</v>
      </c>
      <c r="U6" s="58" t="n">
        <f aca="false">$D6*F6</f>
        <v>89.9</v>
      </c>
      <c r="V6" s="58" t="n">
        <f aca="false">$D6*G6</f>
        <v>0</v>
      </c>
      <c r="W6" s="58" t="n">
        <f aca="false">$D6*H6</f>
        <v>89.9</v>
      </c>
      <c r="X6" s="58" t="n">
        <f aca="false">$D6*I6</f>
        <v>0</v>
      </c>
      <c r="Y6" s="58" t="n">
        <f aca="false">$D6*J6</f>
        <v>89.9</v>
      </c>
      <c r="Z6" s="58" t="n">
        <f aca="false">$D6*K6</f>
        <v>0</v>
      </c>
      <c r="AA6" s="58" t="n">
        <f aca="false">$D6*L6</f>
        <v>89.9</v>
      </c>
      <c r="AB6" s="58" t="n">
        <f aca="false">$D6*M6</f>
        <v>0</v>
      </c>
      <c r="AC6" s="58" t="n">
        <f aca="false">$D6*N6</f>
        <v>89.9</v>
      </c>
      <c r="AD6" s="115" t="n">
        <f aca="false">$D6*O6</f>
        <v>0</v>
      </c>
      <c r="AE6" s="58" t="n">
        <f aca="false">$D6*P6</f>
        <v>89.9</v>
      </c>
      <c r="AF6" s="58" t="n">
        <f aca="false">$D6*Q6</f>
        <v>0</v>
      </c>
      <c r="AG6" s="58" t="n">
        <f aca="false">$D6*R6</f>
        <v>89.9</v>
      </c>
      <c r="AH6" s="58" t="n">
        <f aca="false">$D6*S6</f>
        <v>0</v>
      </c>
      <c r="AI6" s="94" t="n">
        <f aca="false">AJ6/$AI$2</f>
        <v>0.0454073165452053</v>
      </c>
      <c r="AJ6" s="58" t="n">
        <f aca="false">SUM(T6:AH6)</f>
        <v>629.3</v>
      </c>
    </row>
    <row r="7" customFormat="false" ht="15" hidden="false" customHeight="false" outlineLevel="0" collapsed="false">
      <c r="A7" s="60" t="n">
        <v>4</v>
      </c>
      <c r="B7" s="61" t="s">
        <v>54</v>
      </c>
      <c r="C7" s="62" t="s">
        <v>55</v>
      </c>
      <c r="D7" s="63" t="n">
        <f aca="false">VLOOKUP(C7,'[1]PREÇO ATUAL'!$A$1:$D$1048576,4,0)</f>
        <v>175.9</v>
      </c>
      <c r="E7" s="64"/>
      <c r="F7" s="64"/>
      <c r="G7" s="64"/>
      <c r="H7" s="64" t="n">
        <v>4</v>
      </c>
      <c r="I7" s="65"/>
      <c r="J7" s="65"/>
      <c r="K7" s="65"/>
      <c r="L7" s="65" t="n">
        <v>4</v>
      </c>
      <c r="M7" s="65"/>
      <c r="N7" s="64"/>
      <c r="O7" s="79"/>
      <c r="P7" s="64" t="n">
        <v>4</v>
      </c>
      <c r="Q7" s="65"/>
      <c r="R7" s="65"/>
      <c r="S7" s="65"/>
      <c r="T7" s="66" t="n">
        <f aca="false">$D7*E7</f>
        <v>0</v>
      </c>
      <c r="U7" s="66" t="n">
        <f aca="false">$D7*F7</f>
        <v>0</v>
      </c>
      <c r="V7" s="66" t="n">
        <f aca="false">$D7*G7</f>
        <v>0</v>
      </c>
      <c r="W7" s="66" t="n">
        <f aca="false">$D7*H7</f>
        <v>703.6</v>
      </c>
      <c r="X7" s="66" t="n">
        <f aca="false">$D7*I7</f>
        <v>0</v>
      </c>
      <c r="Y7" s="66" t="n">
        <f aca="false">$D7*J7</f>
        <v>0</v>
      </c>
      <c r="Z7" s="66" t="n">
        <f aca="false">$D7*K7</f>
        <v>0</v>
      </c>
      <c r="AA7" s="66" t="n">
        <f aca="false">$D7*L7</f>
        <v>703.6</v>
      </c>
      <c r="AB7" s="66" t="n">
        <f aca="false">$D7*M7</f>
        <v>0</v>
      </c>
      <c r="AC7" s="66" t="n">
        <f aca="false">$D7*N7</f>
        <v>0</v>
      </c>
      <c r="AD7" s="116" t="n">
        <f aca="false">$D7*O7</f>
        <v>0</v>
      </c>
      <c r="AE7" s="66" t="n">
        <f aca="false">$D7*P7</f>
        <v>703.6</v>
      </c>
      <c r="AF7" s="66" t="n">
        <f aca="false">$D7*Q7</f>
        <v>0</v>
      </c>
      <c r="AG7" s="66" t="n">
        <f aca="false">$D7*R7</f>
        <v>0</v>
      </c>
      <c r="AH7" s="66" t="n">
        <f aca="false">$D7*S7</f>
        <v>0</v>
      </c>
      <c r="AI7" s="95" t="n">
        <f aca="false">AJ7/$AI$2</f>
        <v>0.152305361137167</v>
      </c>
      <c r="AJ7" s="66" t="n">
        <f aca="false">SUM(T7:AH7)</f>
        <v>2110.8</v>
      </c>
    </row>
    <row r="8" customFormat="false" ht="15" hidden="false" customHeight="false" outlineLevel="0" collapsed="false">
      <c r="A8" s="52" t="n">
        <v>5</v>
      </c>
      <c r="B8" s="53" t="s">
        <v>56</v>
      </c>
      <c r="C8" s="54" t="s">
        <v>57</v>
      </c>
      <c r="D8" s="55" t="n">
        <f aca="false">VLOOKUP(C8,'[1]PREÇO ATUAL'!$A$1:$D$1048576,4,0)</f>
        <v>143.23</v>
      </c>
      <c r="E8" s="56"/>
      <c r="F8" s="56"/>
      <c r="G8" s="56"/>
      <c r="H8" s="56"/>
      <c r="I8" s="57"/>
      <c r="J8" s="57" t="n">
        <v>1</v>
      </c>
      <c r="K8" s="57"/>
      <c r="L8" s="57"/>
      <c r="M8" s="57"/>
      <c r="N8" s="56"/>
      <c r="O8" s="80"/>
      <c r="P8" s="56" t="n">
        <v>1</v>
      </c>
      <c r="Q8" s="57"/>
      <c r="R8" s="57"/>
      <c r="S8" s="57"/>
      <c r="T8" s="58" t="n">
        <f aca="false">$D8*E8</f>
        <v>0</v>
      </c>
      <c r="U8" s="58" t="n">
        <f aca="false">$D8*F8</f>
        <v>0</v>
      </c>
      <c r="V8" s="58" t="n">
        <f aca="false">$D8*G8</f>
        <v>0</v>
      </c>
      <c r="W8" s="58" t="n">
        <f aca="false">$D8*H8</f>
        <v>0</v>
      </c>
      <c r="X8" s="58" t="n">
        <f aca="false">$D8*I8</f>
        <v>0</v>
      </c>
      <c r="Y8" s="58" t="n">
        <f aca="false">$D8*J8</f>
        <v>143.23</v>
      </c>
      <c r="Z8" s="58" t="n">
        <f aca="false">$D8*K8</f>
        <v>0</v>
      </c>
      <c r="AA8" s="58" t="n">
        <f aca="false">$D8*L8</f>
        <v>0</v>
      </c>
      <c r="AB8" s="58" t="n">
        <f aca="false">$D8*M8</f>
        <v>0</v>
      </c>
      <c r="AC8" s="58" t="n">
        <f aca="false">$D8*N8</f>
        <v>0</v>
      </c>
      <c r="AD8" s="115" t="n">
        <f aca="false">$D8*O8</f>
        <v>0</v>
      </c>
      <c r="AE8" s="58" t="n">
        <f aca="false">$D8*P8</f>
        <v>143.23</v>
      </c>
      <c r="AF8" s="58" t="n">
        <f aca="false">$D8*Q8</f>
        <v>0</v>
      </c>
      <c r="AG8" s="58" t="n">
        <f aca="false">$D8*R8</f>
        <v>0</v>
      </c>
      <c r="AH8" s="58" t="n">
        <f aca="false">$D8*S8</f>
        <v>0</v>
      </c>
      <c r="AI8" s="94" t="n">
        <f aca="false">AJ8/$AI$2</f>
        <v>0.0206696009813118</v>
      </c>
      <c r="AJ8" s="58" t="n">
        <f aca="false">SUM(T8:AH8)</f>
        <v>286.46</v>
      </c>
    </row>
    <row r="9" customFormat="false" ht="15" hidden="false" customHeight="false" outlineLevel="0" collapsed="false">
      <c r="A9" s="60" t="n">
        <v>6</v>
      </c>
      <c r="B9" s="61" t="s">
        <v>60</v>
      </c>
      <c r="C9" s="62" t="s">
        <v>61</v>
      </c>
      <c r="D9" s="63" t="n">
        <f aca="false">VLOOKUP(C9,'[1]PREÇO ATUAL'!$A$1:$D$1048576,4,0)</f>
        <v>33.6224930838505</v>
      </c>
      <c r="E9" s="64"/>
      <c r="F9" s="64"/>
      <c r="G9" s="64"/>
      <c r="H9" s="64"/>
      <c r="I9" s="65"/>
      <c r="J9" s="65"/>
      <c r="K9" s="65"/>
      <c r="L9" s="65"/>
      <c r="M9" s="65"/>
      <c r="N9" s="64"/>
      <c r="O9" s="79"/>
      <c r="P9" s="64"/>
      <c r="Q9" s="65"/>
      <c r="R9" s="65"/>
      <c r="S9" s="65"/>
      <c r="T9" s="66" t="n">
        <f aca="false">$D9*E9</f>
        <v>0</v>
      </c>
      <c r="U9" s="66" t="n">
        <f aca="false">$D9*F9</f>
        <v>0</v>
      </c>
      <c r="V9" s="66" t="n">
        <f aca="false">$D9*G9</f>
        <v>0</v>
      </c>
      <c r="W9" s="66" t="n">
        <f aca="false">$D9*H9</f>
        <v>0</v>
      </c>
      <c r="X9" s="66" t="n">
        <f aca="false">$D9*I9</f>
        <v>0</v>
      </c>
      <c r="Y9" s="66" t="n">
        <f aca="false">$D9*J9</f>
        <v>0</v>
      </c>
      <c r="Z9" s="66" t="n">
        <f aca="false">$D9*K9</f>
        <v>0</v>
      </c>
      <c r="AA9" s="66" t="n">
        <f aca="false">$D9*L9</f>
        <v>0</v>
      </c>
      <c r="AB9" s="66" t="n">
        <f aca="false">$D9*M9</f>
        <v>0</v>
      </c>
      <c r="AC9" s="66" t="n">
        <f aca="false">$D9*N9</f>
        <v>0</v>
      </c>
      <c r="AD9" s="116" t="n">
        <f aca="false">$D9*O9</f>
        <v>0</v>
      </c>
      <c r="AE9" s="66" t="n">
        <f aca="false">$D9*P9</f>
        <v>0</v>
      </c>
      <c r="AF9" s="66" t="n">
        <f aca="false">$D9*Q9</f>
        <v>0</v>
      </c>
      <c r="AG9" s="66" t="n">
        <f aca="false">$D9*R9</f>
        <v>0</v>
      </c>
      <c r="AH9" s="66" t="n">
        <f aca="false">$D9*S9</f>
        <v>0</v>
      </c>
      <c r="AI9" s="95" t="n">
        <f aca="false">AJ9/$AI$2</f>
        <v>0</v>
      </c>
      <c r="AJ9" s="66" t="n">
        <f aca="false">SUM(T9:AH9)</f>
        <v>0</v>
      </c>
    </row>
    <row r="10" customFormat="false" ht="15" hidden="false" customHeight="false" outlineLevel="0" collapsed="false">
      <c r="A10" s="52" t="n">
        <v>7</v>
      </c>
      <c r="B10" s="53" t="s">
        <v>62</v>
      </c>
      <c r="C10" s="54" t="s">
        <v>63</v>
      </c>
      <c r="D10" s="55" t="n">
        <f aca="false">VLOOKUP(C10,'[1]PREÇO ATUAL'!$A$1:$D$1048576,4,0)</f>
        <v>81.26</v>
      </c>
      <c r="E10" s="84" t="n">
        <v>3.36</v>
      </c>
      <c r="F10" s="84" t="n">
        <v>3.36</v>
      </c>
      <c r="G10" s="84" t="n">
        <v>3.36</v>
      </c>
      <c r="H10" s="84" t="n">
        <v>3.36</v>
      </c>
      <c r="I10" s="84" t="n">
        <v>3.36</v>
      </c>
      <c r="J10" s="84" t="n">
        <v>3.36</v>
      </c>
      <c r="K10" s="84" t="n">
        <v>3.36</v>
      </c>
      <c r="L10" s="84" t="n">
        <v>3.36</v>
      </c>
      <c r="M10" s="84" t="n">
        <v>3.36</v>
      </c>
      <c r="N10" s="84" t="n">
        <v>3.36</v>
      </c>
      <c r="O10" s="84" t="n">
        <v>3.36</v>
      </c>
      <c r="P10" s="84" t="n">
        <v>3.36</v>
      </c>
      <c r="Q10" s="84" t="n">
        <v>3.36</v>
      </c>
      <c r="R10" s="84" t="n">
        <v>3.36</v>
      </c>
      <c r="S10" s="84" t="n">
        <v>3.36</v>
      </c>
      <c r="T10" s="58" t="n">
        <f aca="false">$D10*E10</f>
        <v>273.0336</v>
      </c>
      <c r="U10" s="58" t="n">
        <f aca="false">$D10*F10</f>
        <v>273.0336</v>
      </c>
      <c r="V10" s="58" t="n">
        <f aca="false">$D10*G10</f>
        <v>273.0336</v>
      </c>
      <c r="W10" s="58" t="n">
        <f aca="false">$D10*H10</f>
        <v>273.0336</v>
      </c>
      <c r="X10" s="58" t="n">
        <f aca="false">$D10*I10</f>
        <v>273.0336</v>
      </c>
      <c r="Y10" s="58" t="n">
        <f aca="false">$D10*J10</f>
        <v>273.0336</v>
      </c>
      <c r="Z10" s="58" t="n">
        <f aca="false">$D10*K10</f>
        <v>273.0336</v>
      </c>
      <c r="AA10" s="58" t="n">
        <f aca="false">$D10*L10</f>
        <v>273.0336</v>
      </c>
      <c r="AB10" s="58" t="n">
        <f aca="false">$D10*M10</f>
        <v>273.0336</v>
      </c>
      <c r="AC10" s="58" t="n">
        <f aca="false">$D10*N10</f>
        <v>273.0336</v>
      </c>
      <c r="AD10" s="115" t="n">
        <f aca="false">$D10*O10</f>
        <v>273.0336</v>
      </c>
      <c r="AE10" s="58" t="n">
        <f aca="false">$D10*P10</f>
        <v>273.0336</v>
      </c>
      <c r="AF10" s="58" t="n">
        <f aca="false">$D10*Q10</f>
        <v>273.0336</v>
      </c>
      <c r="AG10" s="58" t="n">
        <f aca="false">$D10*R10</f>
        <v>273.0336</v>
      </c>
      <c r="AH10" s="58" t="n">
        <f aca="false">$D10*S10</f>
        <v>273.0336</v>
      </c>
      <c r="AI10" s="94" t="n">
        <f aca="false">AJ10/$AI$2</f>
        <v>0.295512230319648</v>
      </c>
      <c r="AJ10" s="58" t="n">
        <f aca="false">SUM(T10:AH10)</f>
        <v>4095.504</v>
      </c>
    </row>
    <row r="11" customFormat="false" ht="15" hidden="false" customHeight="false" outlineLevel="0" collapsed="false">
      <c r="A11" s="60" t="n">
        <v>8</v>
      </c>
      <c r="B11" s="61" t="s">
        <v>64</v>
      </c>
      <c r="C11" s="62" t="s">
        <v>65</v>
      </c>
      <c r="D11" s="63" t="n">
        <f aca="false">VLOOKUP(C11,'[1]PREÇO ATUAL'!$A$1:$D$1048576,4,0)</f>
        <v>342</v>
      </c>
      <c r="E11" s="70" t="n">
        <v>0.8</v>
      </c>
      <c r="F11" s="70" t="n">
        <v>1</v>
      </c>
      <c r="G11" s="70" t="n">
        <v>0.85</v>
      </c>
      <c r="H11" s="70" t="n">
        <v>1.35</v>
      </c>
      <c r="I11" s="63" t="n">
        <v>0.95</v>
      </c>
      <c r="J11" s="63" t="n">
        <v>1.1</v>
      </c>
      <c r="K11" s="63" t="n">
        <v>0.8</v>
      </c>
      <c r="L11" s="63" t="n">
        <v>1.35</v>
      </c>
      <c r="M11" s="63" t="n">
        <v>0.85</v>
      </c>
      <c r="N11" s="70" t="n">
        <v>1.15</v>
      </c>
      <c r="O11" s="81" t="n">
        <v>0.8</v>
      </c>
      <c r="P11" s="70" t="n">
        <v>1.65</v>
      </c>
      <c r="Q11" s="63" t="n">
        <v>0.8</v>
      </c>
      <c r="R11" s="63" t="n">
        <v>1</v>
      </c>
      <c r="S11" s="63" t="n">
        <v>1</v>
      </c>
      <c r="T11" s="66" t="n">
        <f aca="false">D11*E11</f>
        <v>273.6</v>
      </c>
      <c r="U11" s="66" t="n">
        <f aca="false">$D11*F11</f>
        <v>342</v>
      </c>
      <c r="V11" s="66" t="n">
        <f aca="false">$D11*G11</f>
        <v>290.7</v>
      </c>
      <c r="W11" s="66" t="n">
        <f aca="false">$D11*H11</f>
        <v>461.7</v>
      </c>
      <c r="X11" s="66" t="n">
        <f aca="false">$D11*I11</f>
        <v>324.9</v>
      </c>
      <c r="Y11" s="66" t="n">
        <f aca="false">$D11*J11</f>
        <v>376.2</v>
      </c>
      <c r="Z11" s="66" t="n">
        <f aca="false">$D11*K11</f>
        <v>273.6</v>
      </c>
      <c r="AA11" s="66" t="n">
        <f aca="false">$D11*L11</f>
        <v>461.7</v>
      </c>
      <c r="AB11" s="66" t="n">
        <f aca="false">$D11*M11</f>
        <v>290.7</v>
      </c>
      <c r="AC11" s="66" t="n">
        <f aca="false">$D11*N11</f>
        <v>393.3</v>
      </c>
      <c r="AD11" s="116" t="n">
        <f aca="false">$D11*O11</f>
        <v>273.6</v>
      </c>
      <c r="AE11" s="66" t="n">
        <f aca="false">$D11*P11</f>
        <v>564.3</v>
      </c>
      <c r="AF11" s="66" t="n">
        <f aca="false">$D11*Q11</f>
        <v>273.6</v>
      </c>
      <c r="AG11" s="66" t="n">
        <f aca="false">$D11*R11</f>
        <v>342</v>
      </c>
      <c r="AH11" s="66" t="n">
        <f aca="false">$D11*S11</f>
        <v>342</v>
      </c>
      <c r="AI11" s="95" t="n">
        <f aca="false">AJ11/$AI$2</f>
        <v>0.381261274262212</v>
      </c>
      <c r="AJ11" s="66" t="n">
        <f aca="false">SUM(T11:AH11)</f>
        <v>5283.9</v>
      </c>
    </row>
    <row r="12" customFormat="false" ht="15" hidden="false" customHeight="false" outlineLevel="0" collapsed="false">
      <c r="H12" s="71"/>
    </row>
    <row r="13" customFormat="false" ht="15.75" hidden="false" customHeight="true" outlineLevel="0" collapsed="false">
      <c r="A13" s="74" t="s">
        <v>131</v>
      </c>
      <c r="B13" s="74"/>
      <c r="C13" s="74"/>
      <c r="D13" s="74"/>
      <c r="E13" s="35" t="s">
        <v>29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6" t="s">
        <v>30</v>
      </c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7" t="s">
        <v>31</v>
      </c>
      <c r="AJ13" s="37"/>
    </row>
    <row r="14" customFormat="false" ht="15" hidden="false" customHeight="true" outlineLevel="0" collapsed="false">
      <c r="A14" s="74"/>
      <c r="B14" s="74"/>
      <c r="C14" s="74"/>
      <c r="D14" s="74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44" t="n">
        <f aca="false">MROUND(SUM(T16:T24),1)</f>
        <v>627</v>
      </c>
      <c r="U14" s="43" t="n">
        <f aca="false">MROUND(SUM(U16:U24),1)</f>
        <v>821</v>
      </c>
      <c r="V14" s="43" t="n">
        <f aca="false">MROUND(SUM(V16:V24),1)</f>
        <v>644</v>
      </c>
      <c r="W14" s="43" t="n">
        <f aca="false">MROUND(SUM(W16:W24),1)</f>
        <v>1644</v>
      </c>
      <c r="X14" s="43" t="n">
        <f aca="false">MROUND(SUM(X16:X24),1)</f>
        <v>678</v>
      </c>
      <c r="Y14" s="43" t="n">
        <f aca="false">MROUND(SUM(Y16:Y24),1)</f>
        <v>998</v>
      </c>
      <c r="Z14" s="43" t="n">
        <f aca="false">MROUND(SUM(Z16:Z24),1)</f>
        <v>627</v>
      </c>
      <c r="AA14" s="43" t="n">
        <f aca="false">MROUND(SUM(AA16:AA24),1)</f>
        <v>1644</v>
      </c>
      <c r="AB14" s="43" t="n">
        <f aca="false">MROUND(SUM(AB16:AB24),1)</f>
        <v>644</v>
      </c>
      <c r="AC14" s="43" t="n">
        <f aca="false">MROUND(SUM(AC16:AC24),1)</f>
        <v>872</v>
      </c>
      <c r="AD14" s="44" t="n">
        <f aca="false">MROUND(SUM(AD16:AD24),1)</f>
        <v>627</v>
      </c>
      <c r="AE14" s="113" t="n">
        <f aca="false">MROUND(SUM(AE16:AE24),1)</f>
        <v>2222</v>
      </c>
      <c r="AF14" s="113" t="n">
        <f aca="false">MROUND(SUM(AF16:AF24),1)</f>
        <v>627</v>
      </c>
      <c r="AG14" s="113" t="n">
        <f aca="false">MROUND(SUM(AG16:AG24),1)</f>
        <v>821</v>
      </c>
      <c r="AH14" s="114" t="n">
        <f aca="false">MROUND(SUM(AH16:AH24),1)</f>
        <v>1399</v>
      </c>
      <c r="AI14" s="44" t="n">
        <f aca="false">SUM(T14:AH14)</f>
        <v>14895</v>
      </c>
      <c r="AJ14" s="44"/>
    </row>
    <row r="15" customFormat="false" ht="15" hidden="false" customHeight="false" outlineLevel="0" collapsed="false">
      <c r="A15" s="45" t="s">
        <v>32</v>
      </c>
      <c r="B15" s="45" t="s">
        <v>33</v>
      </c>
      <c r="C15" s="46" t="s">
        <v>34</v>
      </c>
      <c r="D15" s="47" t="s">
        <v>35</v>
      </c>
      <c r="E15" s="49" t="s">
        <v>36</v>
      </c>
      <c r="F15" s="49" t="s">
        <v>37</v>
      </c>
      <c r="G15" s="49" t="s">
        <v>38</v>
      </c>
      <c r="H15" s="49" t="s">
        <v>39</v>
      </c>
      <c r="I15" s="49" t="s">
        <v>40</v>
      </c>
      <c r="J15" s="49" t="s">
        <v>41</v>
      </c>
      <c r="K15" s="49" t="s">
        <v>42</v>
      </c>
      <c r="L15" s="49" t="s">
        <v>43</v>
      </c>
      <c r="M15" s="49" t="s">
        <v>44</v>
      </c>
      <c r="N15" s="49" t="s">
        <v>45</v>
      </c>
      <c r="O15" s="49" t="n">
        <v>11</v>
      </c>
      <c r="P15" s="49" t="n">
        <v>12</v>
      </c>
      <c r="Q15" s="49" t="n">
        <v>13</v>
      </c>
      <c r="R15" s="49" t="n">
        <v>14</v>
      </c>
      <c r="S15" s="49" t="n">
        <v>15</v>
      </c>
      <c r="T15" s="48" t="n">
        <v>10000</v>
      </c>
      <c r="U15" s="48" t="n">
        <v>20000</v>
      </c>
      <c r="V15" s="48" t="n">
        <v>30000</v>
      </c>
      <c r="W15" s="48" t="n">
        <v>40000</v>
      </c>
      <c r="X15" s="48" t="n">
        <v>50000</v>
      </c>
      <c r="Y15" s="48" t="n">
        <v>60000</v>
      </c>
      <c r="Z15" s="48" t="n">
        <v>70000</v>
      </c>
      <c r="AA15" s="48" t="n">
        <v>80000</v>
      </c>
      <c r="AB15" s="48" t="n">
        <v>90000</v>
      </c>
      <c r="AC15" s="48" t="n">
        <v>100000</v>
      </c>
      <c r="AD15" s="50" t="n">
        <f aca="false">AC15+10000</f>
        <v>110000</v>
      </c>
      <c r="AE15" s="48" t="n">
        <f aca="false">AD15+10000</f>
        <v>120000</v>
      </c>
      <c r="AF15" s="48" t="n">
        <f aca="false">AE15+10000</f>
        <v>130000</v>
      </c>
      <c r="AG15" s="48" t="n">
        <f aca="false">AF15+10000</f>
        <v>140000</v>
      </c>
      <c r="AH15" s="48" t="n">
        <f aca="false">AG15+10000</f>
        <v>150000</v>
      </c>
      <c r="AI15" s="51" t="n">
        <f aca="false">SUM(AI16:AI24)</f>
        <v>1.07448735406595</v>
      </c>
      <c r="AJ15" s="45" t="s">
        <v>47</v>
      </c>
    </row>
    <row r="16" customFormat="false" ht="15" hidden="false" customHeight="false" outlineLevel="0" collapsed="false">
      <c r="A16" s="52" t="n">
        <v>1</v>
      </c>
      <c r="B16" s="53" t="s">
        <v>48</v>
      </c>
      <c r="C16" s="54" t="s">
        <v>49</v>
      </c>
      <c r="D16" s="55" t="n">
        <f aca="false">VLOOKUP(C16,'[1]PREÇO ATUAL'!$A$1:$D$1048576,4,0)</f>
        <v>79.9</v>
      </c>
      <c r="E16" s="56" t="n">
        <v>1</v>
      </c>
      <c r="F16" s="56" t="n">
        <v>1</v>
      </c>
      <c r="G16" s="56" t="n">
        <v>1</v>
      </c>
      <c r="H16" s="56" t="n">
        <v>1</v>
      </c>
      <c r="I16" s="57" t="n">
        <v>1</v>
      </c>
      <c r="J16" s="57" t="n">
        <v>1</v>
      </c>
      <c r="K16" s="57" t="n">
        <v>1</v>
      </c>
      <c r="L16" s="57" t="n">
        <v>1</v>
      </c>
      <c r="M16" s="57" t="n">
        <v>1</v>
      </c>
      <c r="N16" s="56" t="n">
        <v>1</v>
      </c>
      <c r="O16" s="56" t="n">
        <v>1</v>
      </c>
      <c r="P16" s="56" t="n">
        <v>1</v>
      </c>
      <c r="Q16" s="56" t="n">
        <v>1</v>
      </c>
      <c r="R16" s="56" t="n">
        <v>1</v>
      </c>
      <c r="S16" s="56" t="n">
        <v>1</v>
      </c>
      <c r="T16" s="58" t="n">
        <f aca="false">$D16*E16</f>
        <v>79.9</v>
      </c>
      <c r="U16" s="58" t="n">
        <f aca="false">$D16*F16</f>
        <v>79.9</v>
      </c>
      <c r="V16" s="58" t="n">
        <f aca="false">$D16*G16</f>
        <v>79.9</v>
      </c>
      <c r="W16" s="58" t="n">
        <f aca="false">$D16*H16</f>
        <v>79.9</v>
      </c>
      <c r="X16" s="58" t="n">
        <f aca="false">$D16*I16</f>
        <v>79.9</v>
      </c>
      <c r="Y16" s="58" t="n">
        <f aca="false">$D16*J16</f>
        <v>79.9</v>
      </c>
      <c r="Z16" s="58" t="n">
        <f aca="false">$D16*K16</f>
        <v>79.9</v>
      </c>
      <c r="AA16" s="58" t="n">
        <f aca="false">$D16*L16</f>
        <v>79.9</v>
      </c>
      <c r="AB16" s="58" t="n">
        <f aca="false">$D16*M16</f>
        <v>79.9</v>
      </c>
      <c r="AC16" s="58" t="n">
        <f aca="false">$D16*N16</f>
        <v>79.9</v>
      </c>
      <c r="AD16" s="115" t="n">
        <f aca="false">$D16*O16</f>
        <v>79.9</v>
      </c>
      <c r="AE16" s="58" t="n">
        <f aca="false">$D16*P16</f>
        <v>79.9</v>
      </c>
      <c r="AF16" s="58" t="n">
        <f aca="false">$D16*Q16</f>
        <v>79.9</v>
      </c>
      <c r="AG16" s="58" t="n">
        <f aca="false">$D16*R16</f>
        <v>79.9</v>
      </c>
      <c r="AH16" s="58" t="n">
        <f aca="false">$D16*S16</f>
        <v>79.9</v>
      </c>
      <c r="AI16" s="94" t="n">
        <f aca="false">AJ16/$AI$2</f>
        <v>0.0864781008730789</v>
      </c>
      <c r="AJ16" s="58" t="n">
        <f aca="false">SUM(T16:AH16)</f>
        <v>1198.5</v>
      </c>
    </row>
    <row r="17" customFormat="false" ht="15" hidden="false" customHeight="false" outlineLevel="0" collapsed="false">
      <c r="A17" s="60" t="n">
        <v>2</v>
      </c>
      <c r="B17" s="61" t="s">
        <v>50</v>
      </c>
      <c r="C17" s="62" t="s">
        <v>51</v>
      </c>
      <c r="D17" s="63" t="n">
        <f aca="false">VLOOKUP(C17,'[1]PREÇO ATUAL'!$A$1:$D$1048576,4,0)</f>
        <v>35.9</v>
      </c>
      <c r="E17" s="64"/>
      <c r="F17" s="64" t="n">
        <v>1</v>
      </c>
      <c r="G17" s="64"/>
      <c r="H17" s="64" t="n">
        <v>1</v>
      </c>
      <c r="I17" s="65"/>
      <c r="J17" s="65" t="n">
        <v>1</v>
      </c>
      <c r="K17" s="65"/>
      <c r="L17" s="65" t="n">
        <v>1</v>
      </c>
      <c r="M17" s="65"/>
      <c r="N17" s="64" t="n">
        <v>1</v>
      </c>
      <c r="O17" s="79"/>
      <c r="P17" s="64" t="n">
        <v>1</v>
      </c>
      <c r="Q17" s="65"/>
      <c r="R17" s="65" t="n">
        <v>1</v>
      </c>
      <c r="S17" s="65"/>
      <c r="T17" s="66" t="n">
        <f aca="false">$D17*E17</f>
        <v>0</v>
      </c>
      <c r="U17" s="66" t="n">
        <f aca="false">$D17*F17</f>
        <v>35.9</v>
      </c>
      <c r="V17" s="66" t="n">
        <f aca="false">$D17*G17</f>
        <v>0</v>
      </c>
      <c r="W17" s="66" t="n">
        <f aca="false">$D17*H17</f>
        <v>35.9</v>
      </c>
      <c r="X17" s="66" t="n">
        <f aca="false">$D17*I17</f>
        <v>0</v>
      </c>
      <c r="Y17" s="66" t="n">
        <f aca="false">$D17*J17</f>
        <v>35.9</v>
      </c>
      <c r="Z17" s="66" t="n">
        <f aca="false">$D17*K17</f>
        <v>0</v>
      </c>
      <c r="AA17" s="66" t="n">
        <f aca="false">$D17*L17</f>
        <v>35.9</v>
      </c>
      <c r="AB17" s="66" t="n">
        <f aca="false">$D17*M17</f>
        <v>0</v>
      </c>
      <c r="AC17" s="66" t="n">
        <f aca="false">$D17*N17</f>
        <v>35.9</v>
      </c>
      <c r="AD17" s="116" t="n">
        <f aca="false">$D17*O17</f>
        <v>0</v>
      </c>
      <c r="AE17" s="66" t="n">
        <f aca="false">$D17*P17</f>
        <v>35.9</v>
      </c>
      <c r="AF17" s="66" t="n">
        <f aca="false">$D17*Q17</f>
        <v>0</v>
      </c>
      <c r="AG17" s="66" t="n">
        <f aca="false">$D17*R17</f>
        <v>35.9</v>
      </c>
      <c r="AH17" s="66" t="n">
        <f aca="false">$D17*S17</f>
        <v>0</v>
      </c>
      <c r="AI17" s="95" t="n">
        <f aca="false">AJ17/$AI$2</f>
        <v>0.0181326214012555</v>
      </c>
      <c r="AJ17" s="66" t="n">
        <f aca="false">SUM(T17:AH17)</f>
        <v>251.3</v>
      </c>
    </row>
    <row r="18" customFormat="false" ht="15" hidden="false" customHeight="false" outlineLevel="0" collapsed="false">
      <c r="A18" s="52" t="n">
        <v>3</v>
      </c>
      <c r="B18" s="53" t="s">
        <v>52</v>
      </c>
      <c r="C18" s="54" t="s">
        <v>53</v>
      </c>
      <c r="D18" s="55" t="n">
        <f aca="false">VLOOKUP(C18,'[1]PREÇO ATUAL'!$A$1:$D$1048576,4,0)</f>
        <v>89.9</v>
      </c>
      <c r="E18" s="56"/>
      <c r="F18" s="56" t="n">
        <v>1</v>
      </c>
      <c r="G18" s="56"/>
      <c r="H18" s="56" t="n">
        <v>1</v>
      </c>
      <c r="I18" s="57"/>
      <c r="J18" s="57" t="n">
        <v>1</v>
      </c>
      <c r="K18" s="57"/>
      <c r="L18" s="57" t="n">
        <v>1</v>
      </c>
      <c r="M18" s="57"/>
      <c r="N18" s="56" t="n">
        <v>1</v>
      </c>
      <c r="O18" s="80"/>
      <c r="P18" s="56" t="n">
        <v>1</v>
      </c>
      <c r="Q18" s="57"/>
      <c r="R18" s="57" t="n">
        <v>1</v>
      </c>
      <c r="S18" s="57"/>
      <c r="T18" s="58" t="n">
        <f aca="false">$D18*E18</f>
        <v>0</v>
      </c>
      <c r="U18" s="58" t="n">
        <f aca="false">$D18*F18</f>
        <v>89.9</v>
      </c>
      <c r="V18" s="58" t="n">
        <f aca="false">$D18*G18</f>
        <v>0</v>
      </c>
      <c r="W18" s="58" t="n">
        <f aca="false">$D18*H18</f>
        <v>89.9</v>
      </c>
      <c r="X18" s="58" t="n">
        <f aca="false">$D18*I18</f>
        <v>0</v>
      </c>
      <c r="Y18" s="58" t="n">
        <f aca="false">$D18*J18</f>
        <v>89.9</v>
      </c>
      <c r="Z18" s="58" t="n">
        <f aca="false">$D18*K18</f>
        <v>0</v>
      </c>
      <c r="AA18" s="58" t="n">
        <f aca="false">$D18*L18</f>
        <v>89.9</v>
      </c>
      <c r="AB18" s="58" t="n">
        <f aca="false">$D18*M18</f>
        <v>0</v>
      </c>
      <c r="AC18" s="58" t="n">
        <f aca="false">$D18*N18</f>
        <v>89.9</v>
      </c>
      <c r="AD18" s="115" t="n">
        <f aca="false">$D18*O18</f>
        <v>0</v>
      </c>
      <c r="AE18" s="58" t="n">
        <f aca="false">$D18*P18</f>
        <v>89.9</v>
      </c>
      <c r="AF18" s="58" t="n">
        <f aca="false">$D18*Q18</f>
        <v>0</v>
      </c>
      <c r="AG18" s="58" t="n">
        <f aca="false">$D18*R18</f>
        <v>89.9</v>
      </c>
      <c r="AH18" s="58" t="n">
        <f aca="false">$D18*S18</f>
        <v>0</v>
      </c>
      <c r="AI18" s="94" t="n">
        <f aca="false">AJ18/$AI$2</f>
        <v>0.0454073165452053</v>
      </c>
      <c r="AJ18" s="58" t="n">
        <f aca="false">SUM(T18:AH18)</f>
        <v>629.3</v>
      </c>
    </row>
    <row r="19" customFormat="false" ht="15" hidden="false" customHeight="false" outlineLevel="0" collapsed="false">
      <c r="A19" s="60" t="n">
        <v>4</v>
      </c>
      <c r="B19" s="61" t="s">
        <v>54</v>
      </c>
      <c r="C19" s="62" t="s">
        <v>55</v>
      </c>
      <c r="D19" s="63" t="n">
        <f aca="false">VLOOKUP(C19,'[1]PREÇO ATUAL'!$A$1:$D$1048576,4,0)</f>
        <v>175.9</v>
      </c>
      <c r="E19" s="64"/>
      <c r="F19" s="64"/>
      <c r="G19" s="64"/>
      <c r="H19" s="64" t="n">
        <v>4</v>
      </c>
      <c r="I19" s="65"/>
      <c r="J19" s="65"/>
      <c r="K19" s="65"/>
      <c r="L19" s="65" t="n">
        <v>4</v>
      </c>
      <c r="M19" s="65"/>
      <c r="N19" s="64"/>
      <c r="O19" s="79"/>
      <c r="P19" s="64" t="n">
        <v>4</v>
      </c>
      <c r="Q19" s="65"/>
      <c r="R19" s="65"/>
      <c r="S19" s="65" t="n">
        <v>4</v>
      </c>
      <c r="T19" s="66" t="n">
        <f aca="false">$D19*E19</f>
        <v>0</v>
      </c>
      <c r="U19" s="66" t="n">
        <f aca="false">$D19*F19</f>
        <v>0</v>
      </c>
      <c r="V19" s="66" t="n">
        <f aca="false">$D19*G19</f>
        <v>0</v>
      </c>
      <c r="W19" s="66" t="n">
        <f aca="false">$D19*H19</f>
        <v>703.6</v>
      </c>
      <c r="X19" s="66" t="n">
        <f aca="false">$D19*I19</f>
        <v>0</v>
      </c>
      <c r="Y19" s="66" t="n">
        <f aca="false">$D19*J19</f>
        <v>0</v>
      </c>
      <c r="Z19" s="66" t="n">
        <f aca="false">$D19*K19</f>
        <v>0</v>
      </c>
      <c r="AA19" s="66" t="n">
        <f aca="false">$D19*L19</f>
        <v>703.6</v>
      </c>
      <c r="AB19" s="66" t="n">
        <f aca="false">$D19*M19</f>
        <v>0</v>
      </c>
      <c r="AC19" s="66" t="n">
        <f aca="false">$D19*N19</f>
        <v>0</v>
      </c>
      <c r="AD19" s="116" t="n">
        <f aca="false">$D19*O19</f>
        <v>0</v>
      </c>
      <c r="AE19" s="66" t="n">
        <f aca="false">$D19*P19</f>
        <v>703.6</v>
      </c>
      <c r="AF19" s="66" t="n">
        <f aca="false">$D19*Q19</f>
        <v>0</v>
      </c>
      <c r="AG19" s="66" t="n">
        <f aca="false">$D19*R19</f>
        <v>0</v>
      </c>
      <c r="AH19" s="66" t="n">
        <f aca="false">$D19*S19</f>
        <v>703.6</v>
      </c>
      <c r="AI19" s="95" t="n">
        <f aca="false">AJ19/$AI$2</f>
        <v>0.203073814849556</v>
      </c>
      <c r="AJ19" s="66" t="n">
        <f aca="false">SUM(T19:AH19)</f>
        <v>2814.4</v>
      </c>
    </row>
    <row r="20" customFormat="false" ht="15" hidden="false" customHeight="false" outlineLevel="0" collapsed="false">
      <c r="A20" s="52" t="n">
        <v>5</v>
      </c>
      <c r="B20" s="53" t="s">
        <v>56</v>
      </c>
      <c r="C20" s="54" t="s">
        <v>57</v>
      </c>
      <c r="D20" s="55" t="n">
        <f aca="false">VLOOKUP(C20,'[1]PREÇO ATUAL'!$A$1:$D$1048576,4,0)</f>
        <v>143.23</v>
      </c>
      <c r="E20" s="56"/>
      <c r="F20" s="56"/>
      <c r="G20" s="56"/>
      <c r="H20" s="56"/>
      <c r="I20" s="57"/>
      <c r="J20" s="57" t="n">
        <v>1</v>
      </c>
      <c r="K20" s="57"/>
      <c r="L20" s="57"/>
      <c r="M20" s="57"/>
      <c r="N20" s="56"/>
      <c r="O20" s="80"/>
      <c r="P20" s="56" t="n">
        <v>1</v>
      </c>
      <c r="Q20" s="57"/>
      <c r="R20" s="57"/>
      <c r="S20" s="57"/>
      <c r="T20" s="58" t="n">
        <f aca="false">$D20*E20</f>
        <v>0</v>
      </c>
      <c r="U20" s="58" t="n">
        <f aca="false">$D20*F20</f>
        <v>0</v>
      </c>
      <c r="V20" s="58" t="n">
        <f aca="false">$D20*G20</f>
        <v>0</v>
      </c>
      <c r="W20" s="58" t="n">
        <f aca="false">$D20*H20</f>
        <v>0</v>
      </c>
      <c r="X20" s="58" t="n">
        <f aca="false">$D20*I20</f>
        <v>0</v>
      </c>
      <c r="Y20" s="58" t="n">
        <f aca="false">$D20*J20</f>
        <v>143.23</v>
      </c>
      <c r="Z20" s="58" t="n">
        <f aca="false">$D20*K20</f>
        <v>0</v>
      </c>
      <c r="AA20" s="58" t="n">
        <f aca="false">$D20*L20</f>
        <v>0</v>
      </c>
      <c r="AB20" s="58" t="n">
        <f aca="false">$D20*M20</f>
        <v>0</v>
      </c>
      <c r="AC20" s="58" t="n">
        <f aca="false">$D20*N20</f>
        <v>0</v>
      </c>
      <c r="AD20" s="115" t="n">
        <f aca="false">$D20*O20</f>
        <v>0</v>
      </c>
      <c r="AE20" s="58" t="n">
        <f aca="false">$D20*P20</f>
        <v>143.23</v>
      </c>
      <c r="AF20" s="58" t="n">
        <f aca="false">$D20*Q20</f>
        <v>0</v>
      </c>
      <c r="AG20" s="58" t="n">
        <f aca="false">$D20*R20</f>
        <v>0</v>
      </c>
      <c r="AH20" s="58" t="n">
        <f aca="false">$D20*S20</f>
        <v>0</v>
      </c>
      <c r="AI20" s="94" t="n">
        <f aca="false">AJ20/$AI$2</f>
        <v>0.0206696009813118</v>
      </c>
      <c r="AJ20" s="58" t="n">
        <f aca="false">SUM(T20:AH20)</f>
        <v>286.46</v>
      </c>
    </row>
    <row r="21" customFormat="false" ht="32.25" hidden="false" customHeight="true" outlineLevel="0" collapsed="false">
      <c r="A21" s="60" t="n">
        <v>6</v>
      </c>
      <c r="B21" s="73" t="s">
        <v>132</v>
      </c>
      <c r="C21" s="62" t="s">
        <v>59</v>
      </c>
      <c r="D21" s="63" t="n">
        <f aca="false">VLOOKUP(C21,'[1]PREÇO ATUAL'!$A$1:$D$1048576,4,0)</f>
        <v>165.97812</v>
      </c>
      <c r="E21" s="82"/>
      <c r="F21" s="82"/>
      <c r="G21" s="82"/>
      <c r="H21" s="82"/>
      <c r="I21" s="83"/>
      <c r="J21" s="83"/>
      <c r="K21" s="83"/>
      <c r="L21" s="83"/>
      <c r="M21" s="83"/>
      <c r="N21" s="82"/>
      <c r="O21" s="111"/>
      <c r="P21" s="117" t="n">
        <v>2</v>
      </c>
      <c r="Q21" s="83"/>
      <c r="R21" s="83"/>
      <c r="S21" s="83"/>
      <c r="T21" s="66" t="n">
        <f aca="false">$D21*E21</f>
        <v>0</v>
      </c>
      <c r="U21" s="66" t="n">
        <f aca="false">$D21*F21</f>
        <v>0</v>
      </c>
      <c r="V21" s="66" t="n">
        <f aca="false">$D21*G21</f>
        <v>0</v>
      </c>
      <c r="W21" s="66" t="n">
        <f aca="false">$D21*H21</f>
        <v>0</v>
      </c>
      <c r="X21" s="66" t="n">
        <f aca="false">$D21*I21</f>
        <v>0</v>
      </c>
      <c r="Y21" s="66" t="n">
        <f aca="false">$D21*J21</f>
        <v>0</v>
      </c>
      <c r="Z21" s="66" t="n">
        <f aca="false">$D21*K21</f>
        <v>0</v>
      </c>
      <c r="AA21" s="66" t="n">
        <f aca="false">$D21*L21</f>
        <v>0</v>
      </c>
      <c r="AB21" s="66" t="n">
        <f aca="false">$D21*M21</f>
        <v>0</v>
      </c>
      <c r="AC21" s="66" t="n">
        <f aca="false">$D21*N21</f>
        <v>0</v>
      </c>
      <c r="AD21" s="116" t="n">
        <f aca="false">$D21*O21</f>
        <v>0</v>
      </c>
      <c r="AE21" s="66" t="n">
        <f aca="false">$D21*P21</f>
        <v>331.95624</v>
      </c>
      <c r="AF21" s="66" t="n">
        <f aca="false">$D21*Q21</f>
        <v>0</v>
      </c>
      <c r="AG21" s="66" t="n">
        <f aca="false">$D21*R21</f>
        <v>0</v>
      </c>
      <c r="AH21" s="66" t="n">
        <f aca="false">$D21*S21</f>
        <v>0</v>
      </c>
      <c r="AI21" s="95" t="n">
        <f aca="false">AJ21/$AI$2</f>
        <v>0.0239523948336821</v>
      </c>
      <c r="AJ21" s="66" t="n">
        <f aca="false">SUM(T21:AH21)</f>
        <v>331.95624</v>
      </c>
    </row>
    <row r="22" customFormat="false" ht="15" hidden="false" customHeight="false" outlineLevel="0" collapsed="false">
      <c r="A22" s="52" t="n">
        <v>7</v>
      </c>
      <c r="B22" s="53" t="s">
        <v>60</v>
      </c>
      <c r="C22" s="54" t="s">
        <v>61</v>
      </c>
      <c r="D22" s="55" t="n">
        <f aca="false">VLOOKUP(C22,'[1]PREÇO ATUAL'!$A$1:$D$1048576,4,0)</f>
        <v>33.6224930838505</v>
      </c>
      <c r="E22" s="84"/>
      <c r="F22" s="84"/>
      <c r="G22" s="84"/>
      <c r="H22" s="84"/>
      <c r="I22" s="85"/>
      <c r="J22" s="85"/>
      <c r="K22" s="85"/>
      <c r="L22" s="85"/>
      <c r="M22" s="85"/>
      <c r="N22" s="84"/>
      <c r="O22" s="110"/>
      <c r="P22" s="84"/>
      <c r="Q22" s="85"/>
      <c r="R22" s="85"/>
      <c r="S22" s="85"/>
      <c r="T22" s="58" t="n">
        <f aca="false">$D22*E22</f>
        <v>0</v>
      </c>
      <c r="U22" s="58" t="n">
        <f aca="false">$D22*F22</f>
        <v>0</v>
      </c>
      <c r="V22" s="58" t="n">
        <f aca="false">$D22*G22</f>
        <v>0</v>
      </c>
      <c r="W22" s="58" t="n">
        <f aca="false">$D22*H22</f>
        <v>0</v>
      </c>
      <c r="X22" s="58" t="n">
        <f aca="false">$D22*I22</f>
        <v>0</v>
      </c>
      <c r="Y22" s="58" t="n">
        <f aca="false">$D22*J22</f>
        <v>0</v>
      </c>
      <c r="Z22" s="58" t="n">
        <f aca="false">$D22*K22</f>
        <v>0</v>
      </c>
      <c r="AA22" s="58" t="n">
        <f aca="false">$D22*L22</f>
        <v>0</v>
      </c>
      <c r="AB22" s="58" t="n">
        <f aca="false">$D22*M22</f>
        <v>0</v>
      </c>
      <c r="AC22" s="58" t="n">
        <f aca="false">$D22*N22</f>
        <v>0</v>
      </c>
      <c r="AD22" s="115" t="n">
        <f aca="false">$D22*O22</f>
        <v>0</v>
      </c>
      <c r="AE22" s="58" t="n">
        <f aca="false">$D22*P22</f>
        <v>0</v>
      </c>
      <c r="AF22" s="58" t="n">
        <f aca="false">$D22*Q22</f>
        <v>0</v>
      </c>
      <c r="AG22" s="58" t="n">
        <f aca="false">$D22*R22</f>
        <v>0</v>
      </c>
      <c r="AH22" s="58" t="n">
        <f aca="false">$D22*S22</f>
        <v>0</v>
      </c>
      <c r="AI22" s="94" t="n">
        <f aca="false">AJ22/$AI$2</f>
        <v>0</v>
      </c>
      <c r="AJ22" s="58" t="n">
        <f aca="false">SUM(T22:AH22)</f>
        <v>0</v>
      </c>
    </row>
    <row r="23" customFormat="false" ht="15" hidden="false" customHeight="false" outlineLevel="0" collapsed="false">
      <c r="A23" s="60" t="n">
        <v>8</v>
      </c>
      <c r="B23" s="61" t="s">
        <v>62</v>
      </c>
      <c r="C23" s="62" t="s">
        <v>63</v>
      </c>
      <c r="D23" s="63" t="n">
        <f aca="false">VLOOKUP(C23,'[1]PREÇO ATUAL'!$A$1:$D$1048576,4,0)</f>
        <v>81.26</v>
      </c>
      <c r="E23" s="82" t="n">
        <v>3.36</v>
      </c>
      <c r="F23" s="82" t="n">
        <v>3.36</v>
      </c>
      <c r="G23" s="82" t="n">
        <v>3.36</v>
      </c>
      <c r="H23" s="82" t="n">
        <v>3.36</v>
      </c>
      <c r="I23" s="83" t="n">
        <v>3.36</v>
      </c>
      <c r="J23" s="83" t="n">
        <v>3.36</v>
      </c>
      <c r="K23" s="83" t="n">
        <v>3.36</v>
      </c>
      <c r="L23" s="83" t="n">
        <v>3.36</v>
      </c>
      <c r="M23" s="83" t="n">
        <v>3.36</v>
      </c>
      <c r="N23" s="82" t="n">
        <v>3.36</v>
      </c>
      <c r="O23" s="111" t="n">
        <v>3.36</v>
      </c>
      <c r="P23" s="82" t="n">
        <v>3.36</v>
      </c>
      <c r="Q23" s="83" t="n">
        <v>3.36</v>
      </c>
      <c r="R23" s="83" t="n">
        <v>3.36</v>
      </c>
      <c r="S23" s="83" t="n">
        <v>3.36</v>
      </c>
      <c r="T23" s="66" t="n">
        <f aca="false">$D23*E23</f>
        <v>273.0336</v>
      </c>
      <c r="U23" s="66" t="n">
        <f aca="false">$D23*F23</f>
        <v>273.0336</v>
      </c>
      <c r="V23" s="66" t="n">
        <f aca="false">$D23*G23</f>
        <v>273.0336</v>
      </c>
      <c r="W23" s="66" t="n">
        <f aca="false">$D23*H23</f>
        <v>273.0336</v>
      </c>
      <c r="X23" s="66" t="n">
        <f aca="false">$D23*I23</f>
        <v>273.0336</v>
      </c>
      <c r="Y23" s="66" t="n">
        <f aca="false">$D23*J23</f>
        <v>273.0336</v>
      </c>
      <c r="Z23" s="66" t="n">
        <f aca="false">$D23*K23</f>
        <v>273.0336</v>
      </c>
      <c r="AA23" s="66" t="n">
        <f aca="false">$D23*L23</f>
        <v>273.0336</v>
      </c>
      <c r="AB23" s="66" t="n">
        <f aca="false">$D23*M23</f>
        <v>273.0336</v>
      </c>
      <c r="AC23" s="66" t="n">
        <f aca="false">$D23*N23</f>
        <v>273.0336</v>
      </c>
      <c r="AD23" s="116" t="n">
        <f aca="false">$D23*O23</f>
        <v>273.0336</v>
      </c>
      <c r="AE23" s="66" t="n">
        <f aca="false">$D23*P23</f>
        <v>273.0336</v>
      </c>
      <c r="AF23" s="66" t="n">
        <f aca="false">$D23*Q23</f>
        <v>273.0336</v>
      </c>
      <c r="AG23" s="66" t="n">
        <f aca="false">$D23*R23</f>
        <v>273.0336</v>
      </c>
      <c r="AH23" s="66" t="n">
        <f aca="false">$D23*S23</f>
        <v>273.0336</v>
      </c>
      <c r="AI23" s="95" t="n">
        <f aca="false">AJ23/$AI$2</f>
        <v>0.295512230319648</v>
      </c>
      <c r="AJ23" s="66" t="n">
        <f aca="false">SUM(T23:AH23)</f>
        <v>4095.504</v>
      </c>
    </row>
    <row r="24" customFormat="false" ht="15" hidden="false" customHeight="false" outlineLevel="0" collapsed="false">
      <c r="A24" s="52" t="n">
        <v>9</v>
      </c>
      <c r="B24" s="53" t="s">
        <v>64</v>
      </c>
      <c r="C24" s="54" t="s">
        <v>65</v>
      </c>
      <c r="D24" s="55" t="n">
        <f aca="false">VLOOKUP(C24,'[1]PREÇO ATUAL'!$A$1:$D$1048576,4,0)</f>
        <v>342</v>
      </c>
      <c r="E24" s="84" t="n">
        <v>0.8</v>
      </c>
      <c r="F24" s="84" t="n">
        <v>1</v>
      </c>
      <c r="G24" s="84" t="n">
        <v>0.85</v>
      </c>
      <c r="H24" s="84" t="n">
        <v>1.35</v>
      </c>
      <c r="I24" s="85" t="n">
        <v>0.95</v>
      </c>
      <c r="J24" s="85" t="n">
        <v>1.1</v>
      </c>
      <c r="K24" s="85" t="n">
        <v>0.8</v>
      </c>
      <c r="L24" s="85" t="n">
        <v>1.35</v>
      </c>
      <c r="M24" s="85" t="n">
        <v>0.85</v>
      </c>
      <c r="N24" s="84" t="n">
        <v>1.15</v>
      </c>
      <c r="O24" s="110" t="n">
        <v>0.8</v>
      </c>
      <c r="P24" s="84" t="n">
        <v>1.65</v>
      </c>
      <c r="Q24" s="85" t="n">
        <v>0.8</v>
      </c>
      <c r="R24" s="85" t="n">
        <v>1</v>
      </c>
      <c r="S24" s="85" t="n">
        <v>1</v>
      </c>
      <c r="T24" s="58" t="n">
        <f aca="false">D24*E24</f>
        <v>273.6</v>
      </c>
      <c r="U24" s="58" t="n">
        <f aca="false">$D24*F24</f>
        <v>342</v>
      </c>
      <c r="V24" s="58" t="n">
        <f aca="false">$D24*G24</f>
        <v>290.7</v>
      </c>
      <c r="W24" s="58" t="n">
        <f aca="false">$D24*H24</f>
        <v>461.7</v>
      </c>
      <c r="X24" s="58" t="n">
        <f aca="false">$D24*I24</f>
        <v>324.9</v>
      </c>
      <c r="Y24" s="58" t="n">
        <f aca="false">$D24*J24</f>
        <v>376.2</v>
      </c>
      <c r="Z24" s="58" t="n">
        <f aca="false">$D24*K24</f>
        <v>273.6</v>
      </c>
      <c r="AA24" s="58" t="n">
        <f aca="false">$D24*L24</f>
        <v>461.7</v>
      </c>
      <c r="AB24" s="58" t="n">
        <f aca="false">$D24*M24</f>
        <v>290.7</v>
      </c>
      <c r="AC24" s="58" t="n">
        <f aca="false">$D24*N24</f>
        <v>393.3</v>
      </c>
      <c r="AD24" s="115" t="n">
        <f aca="false">$D24*O24</f>
        <v>273.6</v>
      </c>
      <c r="AE24" s="58" t="n">
        <f aca="false">$D24*P24</f>
        <v>564.3</v>
      </c>
      <c r="AF24" s="58" t="n">
        <f aca="false">$D24*Q24</f>
        <v>273.6</v>
      </c>
      <c r="AG24" s="58" t="n">
        <f aca="false">$D24*R24</f>
        <v>342</v>
      </c>
      <c r="AH24" s="58" t="n">
        <f aca="false">$D24*S24</f>
        <v>342</v>
      </c>
      <c r="AI24" s="94" t="n">
        <f aca="false">AJ24/$AI$2</f>
        <v>0.381261274262212</v>
      </c>
      <c r="AJ24" s="58" t="n">
        <f aca="false">SUM(T24:AH24)</f>
        <v>5283.9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</sheetData>
  <mergeCells count="10">
    <mergeCell ref="A1:D2"/>
    <mergeCell ref="E1:S1"/>
    <mergeCell ref="T1:AH1"/>
    <mergeCell ref="AI1:AJ1"/>
    <mergeCell ref="AI2:AJ2"/>
    <mergeCell ref="A13:D14"/>
    <mergeCell ref="E13:S13"/>
    <mergeCell ref="T13:AH13"/>
    <mergeCell ref="AI13:AJ13"/>
    <mergeCell ref="AI14:AJ1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J9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Z1" activePane="topRight" state="frozen"/>
      <selection pane="topLeft" activeCell="A1" activeCellId="0" sqref="A1"/>
      <selection pane="topRight" activeCell="D18" activeCellId="0" sqref="D18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61.3"/>
    <col collapsed="false" customWidth="true" hidden="false" outlineLevel="0" max="3" min="3" style="0" width="16.87"/>
    <col collapsed="false" customWidth="true" hidden="false" outlineLevel="0" max="4" min="4" style="0" width="8.71"/>
    <col collapsed="false" customWidth="true" hidden="false" outlineLevel="0" max="5" min="5" style="0" width="6.57"/>
    <col collapsed="false" customWidth="true" hidden="false" outlineLevel="0" max="13" min="6" style="0" width="5.43"/>
    <col collapsed="false" customWidth="true" hidden="false" outlineLevel="0" max="19" min="14" style="0" width="5.57"/>
    <col collapsed="false" customWidth="true" hidden="false" outlineLevel="0" max="21" min="20" style="0" width="14.57"/>
    <col collapsed="false" customWidth="true" hidden="false" outlineLevel="0" max="22" min="22" style="0" width="15.71"/>
    <col collapsed="false" customWidth="true" hidden="false" outlineLevel="0" max="23" min="23" style="0" width="17.13"/>
    <col collapsed="false" customWidth="true" hidden="false" outlineLevel="0" max="24" min="24" style="0" width="15.71"/>
    <col collapsed="false" customWidth="true" hidden="false" outlineLevel="0" max="25" min="25" style="0" width="16.87"/>
    <col collapsed="false" customWidth="true" hidden="false" outlineLevel="0" max="26" min="26" style="0" width="15.71"/>
    <col collapsed="false" customWidth="true" hidden="false" outlineLevel="0" max="27" min="27" style="0" width="17.13"/>
    <col collapsed="false" customWidth="true" hidden="false" outlineLevel="0" max="28" min="28" style="0" width="15.71"/>
    <col collapsed="false" customWidth="true" hidden="false" outlineLevel="0" max="30" min="29" style="0" width="14.57"/>
    <col collapsed="false" customWidth="true" hidden="false" outlineLevel="0" max="31" min="31" style="0" width="15.71"/>
    <col collapsed="false" customWidth="true" hidden="false" outlineLevel="0" max="33" min="32" style="0" width="14.57"/>
    <col collapsed="false" customWidth="true" hidden="false" outlineLevel="0" max="34" min="34" style="0" width="15.71"/>
    <col collapsed="false" customWidth="true" hidden="false" outlineLevel="0" max="35" min="35" style="0" width="9.13"/>
    <col collapsed="false" customWidth="true" hidden="false" outlineLevel="0" max="36" min="36" style="0" width="15.57"/>
  </cols>
  <sheetData>
    <row r="1" customFormat="false" ht="15" hidden="false" customHeight="false" outlineLevel="0" collapsed="false">
      <c r="A1" s="74" t="s">
        <v>133</v>
      </c>
      <c r="B1" s="74"/>
      <c r="C1" s="74"/>
      <c r="D1" s="74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77" t="s">
        <v>30</v>
      </c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37" t="s">
        <v>31</v>
      </c>
      <c r="AJ1" s="37"/>
    </row>
    <row r="2" customFormat="false" ht="15" hidden="false" customHeight="false" outlineLevel="0" collapsed="false">
      <c r="A2" s="74"/>
      <c r="B2" s="74"/>
      <c r="C2" s="74"/>
      <c r="D2" s="74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43" t="n">
        <f aca="false">MROUND(SUM(T4:T14),1)</f>
        <v>532</v>
      </c>
      <c r="U2" s="43" t="n">
        <f aca="false">MROUND(SUM(U4:U14),1)</f>
        <v>719</v>
      </c>
      <c r="V2" s="43" t="n">
        <f aca="false">MROUND(SUM(V4:V14),1)</f>
        <v>1127</v>
      </c>
      <c r="W2" s="43" t="n">
        <f aca="false">MROUND(SUM(W4:W14),1)</f>
        <v>925</v>
      </c>
      <c r="X2" s="43" t="n">
        <f aca="false">MROUND(SUM(X4:X14),1)</f>
        <v>583</v>
      </c>
      <c r="Y2" s="43" t="n">
        <f aca="false">MROUND(SUM(Y4:Y14),1)</f>
        <v>2361</v>
      </c>
      <c r="Z2" s="43" t="n">
        <f aca="false">MROUND(SUM(Z4:Z14),1)</f>
        <v>532</v>
      </c>
      <c r="AA2" s="43" t="n">
        <f aca="false">MROUND(SUM(AA4:AA14),1)</f>
        <v>771</v>
      </c>
      <c r="AB2" s="43" t="n">
        <f aca="false">MROUND(SUM(AB4:AB14),1)</f>
        <v>1127</v>
      </c>
      <c r="AC2" s="43" t="n">
        <f aca="false">MROUND(SUM(AC4:AC14),1)</f>
        <v>925</v>
      </c>
      <c r="AD2" s="43" t="n">
        <f aca="false">MROUND(SUM(AD4:AD14),1)</f>
        <v>532</v>
      </c>
      <c r="AE2" s="43" t="n">
        <f aca="false">MROUND(SUM(AE4:AE14),1)</f>
        <v>2830</v>
      </c>
      <c r="AF2" s="43" t="n">
        <f aca="false">MROUND(SUM(AF4:AF14),1)</f>
        <v>532</v>
      </c>
      <c r="AG2" s="43" t="n">
        <f aca="false">MROUND(SUM(AG4:AG14),1)</f>
        <v>719</v>
      </c>
      <c r="AH2" s="43" t="n">
        <f aca="false">MROUND(SUM(AH4:AH14),1)</f>
        <v>1178</v>
      </c>
      <c r="AI2" s="44" t="n">
        <f aca="false">SUM(T2:AH2)</f>
        <v>15393</v>
      </c>
      <c r="AJ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n">
        <v>11</v>
      </c>
      <c r="P3" s="48" t="n">
        <v>12</v>
      </c>
      <c r="Q3" s="48" t="n">
        <v>13</v>
      </c>
      <c r="R3" s="48" t="n">
        <v>14</v>
      </c>
      <c r="S3" s="48" t="n">
        <v>15</v>
      </c>
      <c r="T3" s="48" t="n">
        <v>10000</v>
      </c>
      <c r="U3" s="48" t="n">
        <v>20000</v>
      </c>
      <c r="V3" s="48" t="n">
        <v>30000</v>
      </c>
      <c r="W3" s="48" t="n">
        <v>40000</v>
      </c>
      <c r="X3" s="48" t="n">
        <v>50000</v>
      </c>
      <c r="Y3" s="48" t="n">
        <v>60000</v>
      </c>
      <c r="Z3" s="48" t="n">
        <v>70000</v>
      </c>
      <c r="AA3" s="48" t="n">
        <v>80000</v>
      </c>
      <c r="AB3" s="48" t="n">
        <v>90000</v>
      </c>
      <c r="AC3" s="48" t="n">
        <v>100000</v>
      </c>
      <c r="AD3" s="50" t="n">
        <f aca="false">AC3+10000</f>
        <v>110000</v>
      </c>
      <c r="AE3" s="48" t="n">
        <f aca="false">AD3+10000</f>
        <v>120000</v>
      </c>
      <c r="AF3" s="48" t="n">
        <f aca="false">AE3+10000</f>
        <v>130000</v>
      </c>
      <c r="AG3" s="48" t="n">
        <f aca="false">AF3+10000</f>
        <v>140000</v>
      </c>
      <c r="AH3" s="48" t="n">
        <f aca="false">AG3+10000</f>
        <v>150000</v>
      </c>
      <c r="AI3" s="51" t="n">
        <f aca="false">SUM(AI4:AI14)</f>
        <v>0.623829662833756</v>
      </c>
      <c r="AJ3" s="45" t="s">
        <v>47</v>
      </c>
    </row>
    <row r="4" customFormat="false" ht="15" hidden="false" customHeight="false" outlineLevel="0" collapsed="false">
      <c r="A4" s="52" t="n">
        <v>1</v>
      </c>
      <c r="B4" s="53" t="s">
        <v>48</v>
      </c>
      <c r="C4" s="54" t="s">
        <v>97</v>
      </c>
      <c r="D4" s="55" t="n">
        <f aca="false">VLOOKUP(C4,'[1]PREÇO ATUAL'!$A$1:$D$1048576,4,0)</f>
        <v>71.2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6" t="n">
        <v>1</v>
      </c>
      <c r="O4" s="56" t="n">
        <v>1</v>
      </c>
      <c r="P4" s="56" t="n">
        <v>1</v>
      </c>
      <c r="Q4" s="56" t="n">
        <v>1</v>
      </c>
      <c r="R4" s="56" t="n">
        <v>1</v>
      </c>
      <c r="S4" s="56" t="n">
        <v>1</v>
      </c>
      <c r="T4" s="58" t="n">
        <f aca="false">$D4*E4</f>
        <v>71.2</v>
      </c>
      <c r="U4" s="58" t="n">
        <f aca="false">$D4*F4</f>
        <v>71.2</v>
      </c>
      <c r="V4" s="58" t="n">
        <f aca="false">$D4*G4</f>
        <v>71.2</v>
      </c>
      <c r="W4" s="58" t="n">
        <f aca="false">$D4*H4</f>
        <v>71.2</v>
      </c>
      <c r="X4" s="58" t="n">
        <f aca="false">$D4*I4</f>
        <v>71.2</v>
      </c>
      <c r="Y4" s="58" t="n">
        <f aca="false">$D4*J4</f>
        <v>71.2</v>
      </c>
      <c r="Z4" s="58" t="n">
        <f aca="false">$D4*K4</f>
        <v>71.2</v>
      </c>
      <c r="AA4" s="58" t="n">
        <f aca="false">$D4*L4</f>
        <v>71.2</v>
      </c>
      <c r="AB4" s="58" t="n">
        <f aca="false">$D4*M4</f>
        <v>71.2</v>
      </c>
      <c r="AC4" s="91" t="n">
        <f aca="false">$D4*N4</f>
        <v>71.2</v>
      </c>
      <c r="AD4" s="115" t="n">
        <f aca="false">$D4*O4</f>
        <v>71.2</v>
      </c>
      <c r="AE4" s="58" t="n">
        <f aca="false">$D4*P4</f>
        <v>71.2</v>
      </c>
      <c r="AF4" s="58" t="n">
        <f aca="false">$D4*Q4</f>
        <v>71.2</v>
      </c>
      <c r="AG4" s="58" t="n">
        <f aca="false">$D4*R4</f>
        <v>71.2</v>
      </c>
      <c r="AH4" s="58" t="n">
        <f aca="false">$D4*S4</f>
        <v>71.2</v>
      </c>
      <c r="AI4" s="94" t="n">
        <f aca="false">AJ4/$AI$2</f>
        <v>0.0462547911388293</v>
      </c>
      <c r="AJ4" s="58" t="n">
        <f aca="false">SUM(T4:AC4)</f>
        <v>712</v>
      </c>
    </row>
    <row r="5" customFormat="false" ht="15" hidden="false" customHeight="false" outlineLevel="0" collapsed="false">
      <c r="A5" s="60" t="n">
        <v>2</v>
      </c>
      <c r="B5" s="61" t="s">
        <v>50</v>
      </c>
      <c r="C5" s="62" t="s">
        <v>51</v>
      </c>
      <c r="D5" s="63" t="n">
        <f aca="false">VLOOKUP(C5,'[1]PREÇO ATUAL'!$A$1:$D$1048576,4,0)</f>
        <v>35.9</v>
      </c>
      <c r="E5" s="64"/>
      <c r="F5" s="64" t="n">
        <v>1</v>
      </c>
      <c r="G5" s="64"/>
      <c r="H5" s="64" t="n">
        <v>1</v>
      </c>
      <c r="I5" s="65"/>
      <c r="J5" s="65" t="n">
        <v>1</v>
      </c>
      <c r="K5" s="65"/>
      <c r="L5" s="65" t="n">
        <v>1</v>
      </c>
      <c r="M5" s="65"/>
      <c r="N5" s="64" t="n">
        <v>1</v>
      </c>
      <c r="O5" s="79"/>
      <c r="P5" s="65" t="n">
        <v>1</v>
      </c>
      <c r="Q5" s="65"/>
      <c r="R5" s="65" t="n">
        <v>1</v>
      </c>
      <c r="S5" s="65"/>
      <c r="T5" s="66" t="n">
        <f aca="false">$D5*E5</f>
        <v>0</v>
      </c>
      <c r="U5" s="66" t="n">
        <f aca="false">$D5*F5</f>
        <v>35.9</v>
      </c>
      <c r="V5" s="66" t="n">
        <f aca="false">$D5*G5</f>
        <v>0</v>
      </c>
      <c r="W5" s="66" t="n">
        <f aca="false">$D5*H5</f>
        <v>35.9</v>
      </c>
      <c r="X5" s="66" t="n">
        <f aca="false">$D5*I5</f>
        <v>0</v>
      </c>
      <c r="Y5" s="66" t="n">
        <f aca="false">$D5*J5</f>
        <v>35.9</v>
      </c>
      <c r="Z5" s="66" t="n">
        <f aca="false">$D5*K5</f>
        <v>0</v>
      </c>
      <c r="AA5" s="66" t="n">
        <f aca="false">$D5*L5</f>
        <v>35.9</v>
      </c>
      <c r="AB5" s="66" t="n">
        <f aca="false">$D5*M5</f>
        <v>0</v>
      </c>
      <c r="AC5" s="92" t="n">
        <f aca="false">$D5*N5</f>
        <v>35.9</v>
      </c>
      <c r="AD5" s="116" t="n">
        <f aca="false">$D5*O5</f>
        <v>0</v>
      </c>
      <c r="AE5" s="66" t="n">
        <f aca="false">$D5*P5</f>
        <v>35.9</v>
      </c>
      <c r="AF5" s="66" t="n">
        <f aca="false">$D5*Q5</f>
        <v>0</v>
      </c>
      <c r="AG5" s="66" t="n">
        <f aca="false">$D5*R5</f>
        <v>35.9</v>
      </c>
      <c r="AH5" s="66" t="n">
        <f aca="false">$D5*S5</f>
        <v>0</v>
      </c>
      <c r="AI5" s="95" t="n">
        <f aca="false">AJ5/$AI$2</f>
        <v>0.0116611446761515</v>
      </c>
      <c r="AJ5" s="66" t="n">
        <f aca="false">SUM(T5:AC5)</f>
        <v>179.5</v>
      </c>
    </row>
    <row r="6" customFormat="false" ht="15" hidden="false" customHeight="false" outlineLevel="0" collapsed="false">
      <c r="A6" s="52" t="n">
        <v>3</v>
      </c>
      <c r="B6" s="53" t="s">
        <v>52</v>
      </c>
      <c r="C6" s="54" t="s">
        <v>100</v>
      </c>
      <c r="D6" s="55" t="n">
        <f aca="false">VLOOKUP(C6,'[1]PREÇO ATUAL'!$A$1:$D$1048576,4,0)</f>
        <v>83.06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56" t="n">
        <v>1</v>
      </c>
      <c r="O6" s="80"/>
      <c r="P6" s="57" t="n">
        <v>1</v>
      </c>
      <c r="Q6" s="57"/>
      <c r="R6" s="57" t="n">
        <v>1</v>
      </c>
      <c r="S6" s="57"/>
      <c r="T6" s="58" t="n">
        <f aca="false">$D6*E6</f>
        <v>0</v>
      </c>
      <c r="U6" s="58" t="n">
        <f aca="false">$D6*F6</f>
        <v>83.06</v>
      </c>
      <c r="V6" s="58" t="n">
        <f aca="false">$D6*G6</f>
        <v>0</v>
      </c>
      <c r="W6" s="58" t="n">
        <f aca="false">$D6*H6</f>
        <v>83.06</v>
      </c>
      <c r="X6" s="58" t="n">
        <f aca="false">$D6*I6</f>
        <v>0</v>
      </c>
      <c r="Y6" s="58" t="n">
        <f aca="false">$D6*J6</f>
        <v>83.06</v>
      </c>
      <c r="Z6" s="58" t="n">
        <f aca="false">$D6*K6</f>
        <v>0</v>
      </c>
      <c r="AA6" s="58" t="n">
        <f aca="false">$D6*L6</f>
        <v>83.06</v>
      </c>
      <c r="AB6" s="58" t="n">
        <f aca="false">$D6*M6</f>
        <v>0</v>
      </c>
      <c r="AC6" s="91" t="n">
        <f aca="false">$D6*N6</f>
        <v>83.06</v>
      </c>
      <c r="AD6" s="115" t="n">
        <f aca="false">$D6*O6</f>
        <v>0</v>
      </c>
      <c r="AE6" s="58" t="n">
        <f aca="false">$D6*P6</f>
        <v>83.06</v>
      </c>
      <c r="AF6" s="58" t="n">
        <f aca="false">$D6*Q6</f>
        <v>0</v>
      </c>
      <c r="AG6" s="58" t="n">
        <f aca="false">$D6*R6</f>
        <v>83.06</v>
      </c>
      <c r="AH6" s="58" t="n">
        <f aca="false">$D6*S6</f>
        <v>0</v>
      </c>
      <c r="AI6" s="94" t="n">
        <f aca="false">AJ6/$AI$2</f>
        <v>0.0269797960111739</v>
      </c>
      <c r="AJ6" s="58" t="n">
        <f aca="false">SUM(T6:AC6)</f>
        <v>415.3</v>
      </c>
    </row>
    <row r="7" customFormat="false" ht="15" hidden="false" customHeight="false" outlineLevel="0" collapsed="false">
      <c r="A7" s="60" t="n">
        <v>4</v>
      </c>
      <c r="B7" s="61" t="s">
        <v>54</v>
      </c>
      <c r="C7" s="62" t="s">
        <v>121</v>
      </c>
      <c r="D7" s="63" t="n">
        <f aca="false">VLOOKUP(C7,'[1]PREÇO ATUAL'!$A$1:$D$1048576,4,0)</f>
        <v>41.9</v>
      </c>
      <c r="E7" s="64"/>
      <c r="F7" s="64"/>
      <c r="G7" s="64" t="n">
        <v>4</v>
      </c>
      <c r="H7" s="64"/>
      <c r="I7" s="65"/>
      <c r="J7" s="65" t="n">
        <v>4</v>
      </c>
      <c r="K7" s="65"/>
      <c r="L7" s="65"/>
      <c r="M7" s="65" t="n">
        <v>4</v>
      </c>
      <c r="N7" s="64"/>
      <c r="O7" s="79"/>
      <c r="P7" s="65" t="n">
        <v>4</v>
      </c>
      <c r="Q7" s="65"/>
      <c r="R7" s="65"/>
      <c r="S7" s="65" t="n">
        <v>4</v>
      </c>
      <c r="T7" s="66" t="n">
        <f aca="false">$D7*E7</f>
        <v>0</v>
      </c>
      <c r="U7" s="66" t="n">
        <f aca="false">$D7*F7</f>
        <v>0</v>
      </c>
      <c r="V7" s="66" t="n">
        <f aca="false">$D7*G7</f>
        <v>167.6</v>
      </c>
      <c r="W7" s="66" t="n">
        <f aca="false">$D7*H7</f>
        <v>0</v>
      </c>
      <c r="X7" s="66" t="n">
        <f aca="false">$D7*I7</f>
        <v>0</v>
      </c>
      <c r="Y7" s="66" t="n">
        <f aca="false">$D7*J7</f>
        <v>167.6</v>
      </c>
      <c r="Z7" s="66" t="n">
        <f aca="false">$D7*K7</f>
        <v>0</v>
      </c>
      <c r="AA7" s="66" t="n">
        <f aca="false">$D7*L7</f>
        <v>0</v>
      </c>
      <c r="AB7" s="66" t="n">
        <f aca="false">$D7*M7</f>
        <v>167.6</v>
      </c>
      <c r="AC7" s="92" t="n">
        <f aca="false">$D7*N7</f>
        <v>0</v>
      </c>
      <c r="AD7" s="116" t="n">
        <f aca="false">$D7*O7</f>
        <v>0</v>
      </c>
      <c r="AE7" s="66" t="n">
        <f aca="false">$D7*P7</f>
        <v>167.6</v>
      </c>
      <c r="AF7" s="66" t="n">
        <f aca="false">$D7*Q7</f>
        <v>0</v>
      </c>
      <c r="AG7" s="66" t="n">
        <f aca="false">$D7*R7</f>
        <v>0</v>
      </c>
      <c r="AH7" s="66" t="n">
        <f aca="false">$D7*S7</f>
        <v>167.6</v>
      </c>
      <c r="AI7" s="95" t="n">
        <f aca="false">AJ7/$AI$2</f>
        <v>0.0326641980120834</v>
      </c>
      <c r="AJ7" s="66" t="n">
        <f aca="false">SUM(T7:AC7)</f>
        <v>502.8</v>
      </c>
    </row>
    <row r="8" customFormat="false" ht="15.75" hidden="false" customHeight="true" outlineLevel="0" collapsed="false">
      <c r="A8" s="52" t="n">
        <v>5</v>
      </c>
      <c r="B8" s="53" t="s">
        <v>134</v>
      </c>
      <c r="C8" s="54" t="s">
        <v>118</v>
      </c>
      <c r="D8" s="55" t="n">
        <f aca="false">VLOOKUP(C8,'[1]PREÇO ATUAL'!$A$1:$D$1048576,4,0)</f>
        <v>110.87</v>
      </c>
      <c r="E8" s="56"/>
      <c r="F8" s="56"/>
      <c r="G8" s="56"/>
      <c r="H8" s="56"/>
      <c r="I8" s="57"/>
      <c r="J8" s="57" t="n">
        <v>1</v>
      </c>
      <c r="K8" s="57"/>
      <c r="L8" s="57"/>
      <c r="M8" s="57"/>
      <c r="N8" s="56"/>
      <c r="O8" s="80"/>
      <c r="P8" s="57" t="n">
        <v>1</v>
      </c>
      <c r="Q8" s="57"/>
      <c r="R8" s="57"/>
      <c r="S8" s="57"/>
      <c r="T8" s="58" t="n">
        <f aca="false">$D8*E8</f>
        <v>0</v>
      </c>
      <c r="U8" s="58" t="n">
        <f aca="false">$D8*F8</f>
        <v>0</v>
      </c>
      <c r="V8" s="58" t="n">
        <f aca="false">$D8*G8</f>
        <v>0</v>
      </c>
      <c r="W8" s="58" t="n">
        <f aca="false">$D8*H8</f>
        <v>0</v>
      </c>
      <c r="X8" s="58" t="n">
        <f aca="false">$D8*I8</f>
        <v>0</v>
      </c>
      <c r="Y8" s="58" t="n">
        <f aca="false">$D8*J8</f>
        <v>110.87</v>
      </c>
      <c r="Z8" s="58" t="n">
        <f aca="false">$D8*K8</f>
        <v>0</v>
      </c>
      <c r="AA8" s="58" t="n">
        <f aca="false">$D8*L8</f>
        <v>0</v>
      </c>
      <c r="AB8" s="58" t="n">
        <f aca="false">$D8*M8</f>
        <v>0</v>
      </c>
      <c r="AC8" s="91" t="n">
        <f aca="false">$D8*N8</f>
        <v>0</v>
      </c>
      <c r="AD8" s="115" t="n">
        <f aca="false">$D8*O8</f>
        <v>0</v>
      </c>
      <c r="AE8" s="58" t="n">
        <f aca="false">$D8*P8</f>
        <v>110.87</v>
      </c>
      <c r="AF8" s="58" t="n">
        <f aca="false">$D8*Q8</f>
        <v>0</v>
      </c>
      <c r="AG8" s="58" t="n">
        <f aca="false">$D8*R8</f>
        <v>0</v>
      </c>
      <c r="AH8" s="58" t="n">
        <f aca="false">$D8*S8</f>
        <v>0</v>
      </c>
      <c r="AI8" s="94" t="n">
        <f aca="false">AJ8/$AI$2</f>
        <v>0.00720262456960956</v>
      </c>
      <c r="AJ8" s="58" t="n">
        <f aca="false">SUM(T8:AC8)</f>
        <v>110.87</v>
      </c>
    </row>
    <row r="9" customFormat="false" ht="15.75" hidden="false" customHeight="true" outlineLevel="0" collapsed="false">
      <c r="A9" s="60" t="n">
        <v>6</v>
      </c>
      <c r="B9" s="61" t="s">
        <v>135</v>
      </c>
      <c r="C9" s="62" t="s">
        <v>136</v>
      </c>
      <c r="D9" s="63" t="n">
        <f aca="false">VLOOKUP(C9,'[1]PREÇO ATUAL'!$A$1:$D$1048576,4,0)</f>
        <v>149.54</v>
      </c>
      <c r="E9" s="70"/>
      <c r="F9" s="70"/>
      <c r="G9" s="70"/>
      <c r="H9" s="70"/>
      <c r="I9" s="63"/>
      <c r="J9" s="101" t="n">
        <v>1</v>
      </c>
      <c r="K9" s="63"/>
      <c r="L9" s="63"/>
      <c r="M9" s="63"/>
      <c r="N9" s="70"/>
      <c r="O9" s="81"/>
      <c r="P9" s="101" t="n">
        <v>1</v>
      </c>
      <c r="Q9" s="63"/>
      <c r="R9" s="63"/>
      <c r="S9" s="63"/>
      <c r="T9" s="66" t="n">
        <f aca="false">$D9*E9</f>
        <v>0</v>
      </c>
      <c r="U9" s="66" t="n">
        <f aca="false">$D9*F9</f>
        <v>0</v>
      </c>
      <c r="V9" s="66" t="n">
        <f aca="false">$D9*G9</f>
        <v>0</v>
      </c>
      <c r="W9" s="66" t="n">
        <f aca="false">$D9*H9</f>
        <v>0</v>
      </c>
      <c r="X9" s="66" t="n">
        <f aca="false">$D9*I9</f>
        <v>0</v>
      </c>
      <c r="Y9" s="66" t="n">
        <f aca="false">$D9*J9</f>
        <v>149.54</v>
      </c>
      <c r="Z9" s="66" t="n">
        <f aca="false">$D9*K9</f>
        <v>0</v>
      </c>
      <c r="AA9" s="66" t="n">
        <f aca="false">$D9*L9</f>
        <v>0</v>
      </c>
      <c r="AB9" s="66" t="n">
        <f aca="false">$D9*M9</f>
        <v>0</v>
      </c>
      <c r="AC9" s="92" t="n">
        <f aca="false">$D9*N9</f>
        <v>0</v>
      </c>
      <c r="AD9" s="116" t="n">
        <f aca="false">$D9*O9</f>
        <v>0</v>
      </c>
      <c r="AE9" s="66" t="n">
        <f aca="false">$D9*P9</f>
        <v>149.54</v>
      </c>
      <c r="AF9" s="66" t="n">
        <f aca="false">$D9*Q9</f>
        <v>0</v>
      </c>
      <c r="AG9" s="66" t="n">
        <f aca="false">$D9*R9</f>
        <v>0</v>
      </c>
      <c r="AH9" s="66" t="n">
        <f aca="false">$D9*S9</f>
        <v>0</v>
      </c>
      <c r="AI9" s="95" t="n">
        <f aca="false">AJ9/$AI$2</f>
        <v>0.00971480543104008</v>
      </c>
      <c r="AJ9" s="66" t="n">
        <f aca="false">SUM(T9:AC9)</f>
        <v>149.54</v>
      </c>
    </row>
    <row r="10" customFormat="false" ht="15.75" hidden="false" customHeight="true" outlineLevel="0" collapsed="false">
      <c r="A10" s="52" t="n">
        <v>7</v>
      </c>
      <c r="B10" s="53" t="s">
        <v>137</v>
      </c>
      <c r="C10" s="54" t="s">
        <v>95</v>
      </c>
      <c r="D10" s="55" t="n">
        <f aca="false">VLOOKUP(C10,'[1]PREÇO ATUAL'!$A$1:$D$1048576,4,0)</f>
        <v>136.4</v>
      </c>
      <c r="E10" s="56"/>
      <c r="F10" s="56"/>
      <c r="G10" s="56"/>
      <c r="H10" s="56"/>
      <c r="I10" s="57"/>
      <c r="J10" s="57" t="n">
        <v>1</v>
      </c>
      <c r="K10" s="57"/>
      <c r="L10" s="57"/>
      <c r="M10" s="57"/>
      <c r="N10" s="56"/>
      <c r="O10" s="80"/>
      <c r="P10" s="57" t="n">
        <v>1</v>
      </c>
      <c r="Q10" s="57"/>
      <c r="R10" s="57"/>
      <c r="S10" s="57"/>
      <c r="T10" s="58" t="n">
        <f aca="false">$D10*E10</f>
        <v>0</v>
      </c>
      <c r="U10" s="58" t="n">
        <f aca="false">$D10*F10</f>
        <v>0</v>
      </c>
      <c r="V10" s="58" t="n">
        <f aca="false">$D10*G10</f>
        <v>0</v>
      </c>
      <c r="W10" s="58" t="n">
        <f aca="false">$D10*H10</f>
        <v>0</v>
      </c>
      <c r="X10" s="58" t="n">
        <f aca="false">$D10*I10</f>
        <v>0</v>
      </c>
      <c r="Y10" s="58" t="n">
        <f aca="false">$D10*J10</f>
        <v>136.4</v>
      </c>
      <c r="Z10" s="58" t="n">
        <f aca="false">$D10*K10</f>
        <v>0</v>
      </c>
      <c r="AA10" s="58" t="n">
        <f aca="false">$D10*L10</f>
        <v>0</v>
      </c>
      <c r="AB10" s="58" t="n">
        <f aca="false">$D10*M10</f>
        <v>0</v>
      </c>
      <c r="AC10" s="91" t="n">
        <f aca="false">$D10*N10</f>
        <v>0</v>
      </c>
      <c r="AD10" s="115" t="n">
        <f aca="false">$D10*O10</f>
        <v>0</v>
      </c>
      <c r="AE10" s="58" t="n">
        <f aca="false">$D10*P10</f>
        <v>136.4</v>
      </c>
      <c r="AF10" s="58" t="n">
        <f aca="false">$D10*Q10</f>
        <v>0</v>
      </c>
      <c r="AG10" s="58" t="n">
        <f aca="false">$D10*R10</f>
        <v>0</v>
      </c>
      <c r="AH10" s="58" t="n">
        <f aca="false">$D10*S10</f>
        <v>0</v>
      </c>
      <c r="AI10" s="94" t="n">
        <f aca="false">AJ10/$AI$2</f>
        <v>0.00886117066198922</v>
      </c>
      <c r="AJ10" s="58" t="n">
        <f aca="false">SUM(T10:AC10)</f>
        <v>136.4</v>
      </c>
    </row>
    <row r="11" customFormat="false" ht="38.25" hidden="false" customHeight="false" outlineLevel="0" collapsed="false">
      <c r="A11" s="60" t="n">
        <v>8</v>
      </c>
      <c r="B11" s="73" t="s">
        <v>132</v>
      </c>
      <c r="C11" s="62" t="s">
        <v>59</v>
      </c>
      <c r="D11" s="63" t="n">
        <f aca="false">VLOOKUP(C11,'[1]PREÇO ATUAL'!$A$1:$D$1048576,4,0)</f>
        <v>165.97812</v>
      </c>
      <c r="E11" s="70"/>
      <c r="F11" s="70"/>
      <c r="G11" s="70"/>
      <c r="H11" s="70"/>
      <c r="I11" s="63"/>
      <c r="J11" s="101"/>
      <c r="K11" s="63"/>
      <c r="L11" s="63"/>
      <c r="M11" s="63"/>
      <c r="N11" s="70"/>
      <c r="O11" s="81"/>
      <c r="P11" s="100" t="n">
        <v>2</v>
      </c>
      <c r="Q11" s="63"/>
      <c r="R11" s="63"/>
      <c r="S11" s="63"/>
      <c r="T11" s="66" t="n">
        <f aca="false">$D11*E11</f>
        <v>0</v>
      </c>
      <c r="U11" s="66" t="n">
        <f aca="false">$D11*F11</f>
        <v>0</v>
      </c>
      <c r="V11" s="66" t="n">
        <f aca="false">$D11*G11</f>
        <v>0</v>
      </c>
      <c r="W11" s="66" t="n">
        <f aca="false">$D11*H11</f>
        <v>0</v>
      </c>
      <c r="X11" s="66" t="n">
        <f aca="false">$D11*I11</f>
        <v>0</v>
      </c>
      <c r="Y11" s="66" t="n">
        <f aca="false">$D11*J11</f>
        <v>0</v>
      </c>
      <c r="Z11" s="66" t="n">
        <f aca="false">$D11*K11</f>
        <v>0</v>
      </c>
      <c r="AA11" s="66" t="n">
        <f aca="false">$D11*L11</f>
        <v>0</v>
      </c>
      <c r="AB11" s="66" t="n">
        <f aca="false">$D11*M11</f>
        <v>0</v>
      </c>
      <c r="AC11" s="92" t="n">
        <f aca="false">$D11*N11</f>
        <v>0</v>
      </c>
      <c r="AD11" s="116" t="n">
        <f aca="false">$D11*O11</f>
        <v>0</v>
      </c>
      <c r="AE11" s="66" t="n">
        <f aca="false">$D11*P11</f>
        <v>331.95624</v>
      </c>
      <c r="AF11" s="66" t="n">
        <f aca="false">$D11*Q11</f>
        <v>0</v>
      </c>
      <c r="AG11" s="66" t="n">
        <f aca="false">$D11*R11</f>
        <v>0</v>
      </c>
      <c r="AH11" s="66" t="n">
        <f aca="false">$D11*S11</f>
        <v>0</v>
      </c>
      <c r="AI11" s="95" t="n">
        <f aca="false">AJ11/$AI$2</f>
        <v>0</v>
      </c>
      <c r="AJ11" s="66" t="n">
        <f aca="false">SUM(T11:AC11)</f>
        <v>0</v>
      </c>
    </row>
    <row r="12" customFormat="false" ht="15.75" hidden="false" customHeight="true" outlineLevel="0" collapsed="false">
      <c r="A12" s="52" t="n">
        <v>9</v>
      </c>
      <c r="B12" s="53" t="s">
        <v>60</v>
      </c>
      <c r="C12" s="54" t="s">
        <v>61</v>
      </c>
      <c r="D12" s="55" t="n">
        <f aca="false">VLOOKUP(C12,'[1]PREÇO ATUAL'!$A$1:$D$1048576,4,0)</f>
        <v>33.6224930838505</v>
      </c>
      <c r="E12" s="56"/>
      <c r="F12" s="56"/>
      <c r="G12" s="56"/>
      <c r="H12" s="56"/>
      <c r="I12" s="57"/>
      <c r="J12" s="57"/>
      <c r="K12" s="57"/>
      <c r="L12" s="57"/>
      <c r="M12" s="57"/>
      <c r="N12" s="56"/>
      <c r="O12" s="80"/>
      <c r="P12" s="57"/>
      <c r="Q12" s="57"/>
      <c r="R12" s="57"/>
      <c r="S12" s="57"/>
      <c r="T12" s="58" t="n">
        <v>0</v>
      </c>
      <c r="U12" s="58" t="n">
        <f aca="false">$D12*F12</f>
        <v>0</v>
      </c>
      <c r="V12" s="58" t="n">
        <f aca="false">$D12*G12</f>
        <v>0</v>
      </c>
      <c r="W12" s="58" t="n">
        <f aca="false">$D12*H12</f>
        <v>0</v>
      </c>
      <c r="X12" s="58" t="n">
        <f aca="false">$D12*I12</f>
        <v>0</v>
      </c>
      <c r="Y12" s="58" t="n">
        <f aca="false">$D12*J12</f>
        <v>0</v>
      </c>
      <c r="Z12" s="58" t="n">
        <f aca="false">$D12*K12</f>
        <v>0</v>
      </c>
      <c r="AA12" s="58" t="n">
        <f aca="false">$D12*L12</f>
        <v>0</v>
      </c>
      <c r="AB12" s="58" t="n">
        <f aca="false">$D12*M12</f>
        <v>0</v>
      </c>
      <c r="AC12" s="91" t="n">
        <f aca="false">$D12*N12</f>
        <v>0</v>
      </c>
      <c r="AD12" s="115" t="n">
        <f aca="false">$D12*O12</f>
        <v>0</v>
      </c>
      <c r="AE12" s="58" t="n">
        <f aca="false">$D12*P12</f>
        <v>0</v>
      </c>
      <c r="AF12" s="58" t="n">
        <f aca="false">$D12*Q12</f>
        <v>0</v>
      </c>
      <c r="AG12" s="58" t="n">
        <f aca="false">$D12*R12</f>
        <v>0</v>
      </c>
      <c r="AH12" s="58" t="n">
        <f aca="false">$D12*S12</f>
        <v>0</v>
      </c>
      <c r="AI12" s="94" t="n">
        <f aca="false">AJ12/$AI$2</f>
        <v>0</v>
      </c>
      <c r="AJ12" s="58" t="n">
        <f aca="false">SUM(T12:AC12)</f>
        <v>0</v>
      </c>
    </row>
    <row r="13" customFormat="false" ht="15.75" hidden="false" customHeight="true" outlineLevel="0" collapsed="false">
      <c r="A13" s="60" t="n">
        <v>10</v>
      </c>
      <c r="B13" s="61" t="s">
        <v>89</v>
      </c>
      <c r="C13" s="62" t="s">
        <v>90</v>
      </c>
      <c r="D13" s="63" t="n">
        <f aca="false">VLOOKUP(C13,'[1]PREÇO ATUAL'!$A$1:$D$1048576,4,0)</f>
        <v>75.7</v>
      </c>
      <c r="E13" s="70" t="n">
        <v>2.7</v>
      </c>
      <c r="F13" s="70" t="n">
        <v>2.7</v>
      </c>
      <c r="G13" s="70" t="n">
        <v>2.7</v>
      </c>
      <c r="H13" s="70" t="n">
        <v>2.7</v>
      </c>
      <c r="I13" s="63" t="n">
        <v>2.7</v>
      </c>
      <c r="J13" s="101" t="n">
        <v>2.7</v>
      </c>
      <c r="K13" s="63" t="n">
        <v>2.7</v>
      </c>
      <c r="L13" s="63" t="n">
        <v>2.7</v>
      </c>
      <c r="M13" s="63" t="n">
        <v>2.7</v>
      </c>
      <c r="N13" s="70" t="n">
        <v>2.7</v>
      </c>
      <c r="O13" s="81" t="n">
        <v>2.7</v>
      </c>
      <c r="P13" s="63" t="n">
        <v>2.7</v>
      </c>
      <c r="Q13" s="63" t="n">
        <v>2.7</v>
      </c>
      <c r="R13" s="63" t="n">
        <v>2.7</v>
      </c>
      <c r="S13" s="63" t="n">
        <v>2.7</v>
      </c>
      <c r="T13" s="66" t="n">
        <f aca="false">$D13*E13</f>
        <v>204.39</v>
      </c>
      <c r="U13" s="66" t="n">
        <f aca="false">$D13*F13</f>
        <v>204.39</v>
      </c>
      <c r="V13" s="66" t="n">
        <f aca="false">$D13*G13</f>
        <v>204.39</v>
      </c>
      <c r="W13" s="66" t="n">
        <f aca="false">$D13*H13</f>
        <v>204.39</v>
      </c>
      <c r="X13" s="66" t="n">
        <f aca="false">$D13*I13</f>
        <v>204.39</v>
      </c>
      <c r="Y13" s="66" t="n">
        <f aca="false">$D13*J13</f>
        <v>204.39</v>
      </c>
      <c r="Z13" s="66" t="n">
        <f aca="false">$D13*K13</f>
        <v>204.39</v>
      </c>
      <c r="AA13" s="66" t="n">
        <f aca="false">$D13*L13</f>
        <v>204.39</v>
      </c>
      <c r="AB13" s="66" t="n">
        <f aca="false">$D13*M13</f>
        <v>204.39</v>
      </c>
      <c r="AC13" s="92" t="n">
        <f aca="false">$D13*N13</f>
        <v>204.39</v>
      </c>
      <c r="AD13" s="116" t="n">
        <f aca="false">$D13*O13</f>
        <v>204.39</v>
      </c>
      <c r="AE13" s="66" t="n">
        <f aca="false">$D13*P13</f>
        <v>204.39</v>
      </c>
      <c r="AF13" s="66" t="n">
        <f aca="false">$D13*Q13</f>
        <v>204.39</v>
      </c>
      <c r="AG13" s="66" t="n">
        <f aca="false">$D13*R13</f>
        <v>204.39</v>
      </c>
      <c r="AH13" s="66" t="n">
        <f aca="false">$D13*S13</f>
        <v>204.39</v>
      </c>
      <c r="AI13" s="95" t="n">
        <f aca="false">AJ13/$AI$2</f>
        <v>0.132781134281816</v>
      </c>
      <c r="AJ13" s="66" t="n">
        <f aca="false">SUM(T13:AC13)</f>
        <v>2043.9</v>
      </c>
    </row>
    <row r="14" customFormat="false" ht="15.75" hidden="false" customHeight="true" outlineLevel="0" collapsed="false">
      <c r="A14" s="52" t="n">
        <v>11</v>
      </c>
      <c r="B14" s="53" t="s">
        <v>64</v>
      </c>
      <c r="C14" s="54" t="s">
        <v>65</v>
      </c>
      <c r="D14" s="55" t="n">
        <f aca="false">VLOOKUP(C14,'[1]PREÇO ATUAL'!$A$1:$D$1048576,4,0)</f>
        <v>342</v>
      </c>
      <c r="E14" s="84" t="n">
        <v>0.75</v>
      </c>
      <c r="F14" s="84" t="n">
        <v>0.95</v>
      </c>
      <c r="G14" s="84" t="n">
        <v>2</v>
      </c>
      <c r="H14" s="84" t="n">
        <v>1.55</v>
      </c>
      <c r="I14" s="85" t="n">
        <v>0.9</v>
      </c>
      <c r="J14" s="85" t="n">
        <v>4.1</v>
      </c>
      <c r="K14" s="85" t="n">
        <v>0.75</v>
      </c>
      <c r="L14" s="85" t="n">
        <v>1.1</v>
      </c>
      <c r="M14" s="85" t="n">
        <v>2</v>
      </c>
      <c r="N14" s="84" t="n">
        <v>1.55</v>
      </c>
      <c r="O14" s="110" t="n">
        <v>0.75</v>
      </c>
      <c r="P14" s="85" t="n">
        <v>4.5</v>
      </c>
      <c r="Q14" s="85" t="n">
        <v>0.75</v>
      </c>
      <c r="R14" s="85" t="n">
        <v>0.95</v>
      </c>
      <c r="S14" s="85" t="n">
        <v>2.15</v>
      </c>
      <c r="T14" s="58" t="n">
        <f aca="false">D14*E14</f>
        <v>256.5</v>
      </c>
      <c r="U14" s="58" t="n">
        <f aca="false">$D$14*F14</f>
        <v>324.9</v>
      </c>
      <c r="V14" s="58" t="n">
        <f aca="false">$D$14*G14</f>
        <v>684</v>
      </c>
      <c r="W14" s="58" t="n">
        <f aca="false">$D$14*H14</f>
        <v>530.1</v>
      </c>
      <c r="X14" s="58" t="n">
        <f aca="false">$D$14*I14</f>
        <v>307.8</v>
      </c>
      <c r="Y14" s="58" t="n">
        <f aca="false">$D$14*J14</f>
        <v>1402.2</v>
      </c>
      <c r="Z14" s="58" t="n">
        <f aca="false">$D$14*K14</f>
        <v>256.5</v>
      </c>
      <c r="AA14" s="58" t="n">
        <f aca="false">$D$14*L14</f>
        <v>376.2</v>
      </c>
      <c r="AB14" s="58" t="n">
        <f aca="false">$D$14*M14</f>
        <v>684</v>
      </c>
      <c r="AC14" s="91" t="n">
        <f aca="false">$D$14*N14</f>
        <v>530.1</v>
      </c>
      <c r="AD14" s="115" t="n">
        <f aca="false">$D$14*O14</f>
        <v>256.5</v>
      </c>
      <c r="AE14" s="58" t="n">
        <f aca="false">$D$14*P14</f>
        <v>1539</v>
      </c>
      <c r="AF14" s="58" t="n">
        <f aca="false">$D$14*Q14</f>
        <v>256.5</v>
      </c>
      <c r="AG14" s="58" t="n">
        <f aca="false">$D$14*R14</f>
        <v>324.9</v>
      </c>
      <c r="AH14" s="58" t="n">
        <f aca="false">$D$14*S14</f>
        <v>735.3</v>
      </c>
      <c r="AI14" s="94" t="n">
        <f aca="false">AJ14/$AI$2</f>
        <v>0.347709998051062</v>
      </c>
      <c r="AJ14" s="58" t="n">
        <f aca="false">SUM(T14:AC14)</f>
        <v>5352.3</v>
      </c>
    </row>
    <row r="15" customFormat="false" ht="15.75" hidden="false" customHeight="true" outlineLevel="0" collapsed="false">
      <c r="H15" s="93"/>
      <c r="L15" s="93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</sheetData>
  <mergeCells count="5">
    <mergeCell ref="A1:D2"/>
    <mergeCell ref="E1:S2"/>
    <mergeCell ref="T1:AH1"/>
    <mergeCell ref="AI1:AJ1"/>
    <mergeCell ref="AI2:AJ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J9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P1" activePane="topRight" state="frozen"/>
      <selection pane="topLeft" activeCell="A1" activeCellId="0" sqref="A1"/>
      <selection pane="topRight" activeCell="X2" activeCellId="0" sqref="X2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60.29"/>
    <col collapsed="false" customWidth="true" hidden="false" outlineLevel="0" max="3" min="3" style="0" width="16.87"/>
    <col collapsed="false" customWidth="true" hidden="false" outlineLevel="0" max="4" min="4" style="0" width="8.71"/>
    <col collapsed="false" customWidth="true" hidden="false" outlineLevel="0" max="19" min="5" style="0" width="5.28"/>
    <col collapsed="false" customWidth="true" hidden="false" outlineLevel="0" max="22" min="20" style="0" width="15"/>
    <col collapsed="false" customWidth="true" hidden="false" outlineLevel="0" max="23" min="23" style="0" width="17.13"/>
    <col collapsed="false" customWidth="true" hidden="false" outlineLevel="0" max="24" min="24" style="0" width="15"/>
    <col collapsed="false" customWidth="true" hidden="false" outlineLevel="0" max="25" min="25" style="0" width="17.13"/>
    <col collapsed="false" customWidth="true" hidden="false" outlineLevel="0" max="26" min="26" style="0" width="15"/>
    <col collapsed="false" customWidth="true" hidden="false" outlineLevel="0" max="27" min="27" style="0" width="17.13"/>
    <col collapsed="false" customWidth="true" hidden="false" outlineLevel="0" max="30" min="28" style="0" width="15"/>
    <col collapsed="false" customWidth="true" hidden="false" outlineLevel="0" max="31" min="31" style="0" width="15.71"/>
    <col collapsed="false" customWidth="true" hidden="false" outlineLevel="0" max="34" min="32" style="0" width="15"/>
    <col collapsed="false" customWidth="true" hidden="false" outlineLevel="0" max="35" min="35" style="0" width="8.41"/>
    <col collapsed="false" customWidth="true" hidden="false" outlineLevel="0" max="36" min="36" style="0" width="15.57"/>
  </cols>
  <sheetData>
    <row r="1" customFormat="false" ht="15.75" hidden="false" customHeight="true" outlineLevel="0" collapsed="false">
      <c r="A1" s="89" t="s">
        <v>138</v>
      </c>
      <c r="B1" s="89"/>
      <c r="C1" s="89"/>
      <c r="D1" s="89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36" t="s">
        <v>30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 t="s">
        <v>31</v>
      </c>
      <c r="AJ1" s="37"/>
    </row>
    <row r="2" customFormat="false" ht="15" hidden="false" customHeight="true" outlineLevel="0" collapsed="false">
      <c r="A2" s="89"/>
      <c r="B2" s="89"/>
      <c r="C2" s="89"/>
      <c r="D2" s="89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43" t="n">
        <f aca="false">MROUND(SUM(T4:T12),1)</f>
        <v>577</v>
      </c>
      <c r="U2" s="43" t="n">
        <f aca="false">MROUND(SUM(U4:U12),1)</f>
        <v>823</v>
      </c>
      <c r="V2" s="43" t="n">
        <f aca="false">MROUND(SUM(V4:V12),1)</f>
        <v>594</v>
      </c>
      <c r="W2" s="43" t="n">
        <f aca="false">MROUND(SUM(W4:W12),1)</f>
        <v>1675</v>
      </c>
      <c r="X2" s="43" t="n">
        <f aca="false">MROUND(SUM(X4:X12),1)</f>
        <v>628</v>
      </c>
      <c r="Y2" s="43" t="n">
        <f aca="false">MROUND(SUM(Y4:Y12),1)</f>
        <v>1051</v>
      </c>
      <c r="Z2" s="43" t="n">
        <f aca="false">MROUND(SUM(Z4:Z12),1)</f>
        <v>577</v>
      </c>
      <c r="AA2" s="43" t="n">
        <f aca="false">MROUND(SUM(AA4:AA12),1)</f>
        <v>1675</v>
      </c>
      <c r="AB2" s="43" t="n">
        <f aca="false">MROUND(SUM(AB4:AB12),1)</f>
        <v>594</v>
      </c>
      <c r="AC2" s="43" t="n">
        <f aca="false">MROUND(SUM(AC4:AC12),1)</f>
        <v>874</v>
      </c>
      <c r="AD2" s="43" t="n">
        <f aca="false">MROUND(SUM(AD4:AD12),1)</f>
        <v>577</v>
      </c>
      <c r="AE2" s="43" t="n">
        <f aca="false">MROUND(SUM(AE4:AE12),1)</f>
        <v>1928</v>
      </c>
      <c r="AF2" s="43" t="n">
        <f aca="false">MROUND(SUM(AF4:AF12),1)</f>
        <v>577</v>
      </c>
      <c r="AG2" s="43" t="n">
        <f aca="false">MROUND(SUM(AG4:AG12),1)</f>
        <v>823</v>
      </c>
      <c r="AH2" s="43" t="n">
        <f aca="false">MROUND(SUM(AH4:AH12),1)</f>
        <v>645</v>
      </c>
      <c r="AI2" s="44" t="n">
        <f aca="false">SUM(T2:AH2)</f>
        <v>13618</v>
      </c>
      <c r="AJ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n">
        <v>11</v>
      </c>
      <c r="P3" s="48" t="n">
        <v>12</v>
      </c>
      <c r="Q3" s="48" t="n">
        <v>13</v>
      </c>
      <c r="R3" s="48" t="n">
        <v>14</v>
      </c>
      <c r="S3" s="48" t="n">
        <v>15</v>
      </c>
      <c r="T3" s="48" t="n">
        <v>10000</v>
      </c>
      <c r="U3" s="48" t="n">
        <v>20000</v>
      </c>
      <c r="V3" s="48" t="n">
        <v>30000</v>
      </c>
      <c r="W3" s="48" t="n">
        <v>40000</v>
      </c>
      <c r="X3" s="48" t="n">
        <v>50000</v>
      </c>
      <c r="Y3" s="48" t="n">
        <v>60000</v>
      </c>
      <c r="Z3" s="48" t="n">
        <v>70000</v>
      </c>
      <c r="AA3" s="48" t="n">
        <v>80000</v>
      </c>
      <c r="AB3" s="48" t="n">
        <v>90000</v>
      </c>
      <c r="AC3" s="48" t="n">
        <v>100000</v>
      </c>
      <c r="AD3" s="50" t="n">
        <f aca="false">AC3+10000</f>
        <v>110000</v>
      </c>
      <c r="AE3" s="50" t="n">
        <f aca="false">AD3+10000</f>
        <v>120000</v>
      </c>
      <c r="AF3" s="50" t="n">
        <f aca="false">AE3+10000</f>
        <v>130000</v>
      </c>
      <c r="AG3" s="50" t="n">
        <f aca="false">AF3+10000</f>
        <v>140000</v>
      </c>
      <c r="AH3" s="50" t="n">
        <f aca="false">AG3+10000</f>
        <v>150000</v>
      </c>
      <c r="AI3" s="51" t="s">
        <v>46</v>
      </c>
      <c r="AJ3" s="45" t="s">
        <v>47</v>
      </c>
    </row>
    <row r="4" customFormat="false" ht="15" hidden="false" customHeight="false" outlineLevel="0" collapsed="false">
      <c r="A4" s="52" t="n">
        <v>1</v>
      </c>
      <c r="B4" s="53" t="s">
        <v>48</v>
      </c>
      <c r="C4" s="54" t="s">
        <v>49</v>
      </c>
      <c r="D4" s="55" t="n">
        <f aca="false">VLOOKUP(C4,'[1]PREÇO ATUAL'!$A$1:$D$1048576,4,0)</f>
        <v>79.9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6" t="n">
        <v>1</v>
      </c>
      <c r="O4" s="56" t="n">
        <v>1</v>
      </c>
      <c r="P4" s="56" t="n">
        <v>1</v>
      </c>
      <c r="Q4" s="56" t="n">
        <v>1</v>
      </c>
      <c r="R4" s="56" t="n">
        <v>1</v>
      </c>
      <c r="S4" s="56" t="n">
        <v>1</v>
      </c>
      <c r="T4" s="58" t="n">
        <f aca="false">$D4*E4</f>
        <v>79.9</v>
      </c>
      <c r="U4" s="58" t="n">
        <f aca="false">$D4*F4</f>
        <v>79.9</v>
      </c>
      <c r="V4" s="58" t="n">
        <f aca="false">$D4*G4</f>
        <v>79.9</v>
      </c>
      <c r="W4" s="58" t="n">
        <f aca="false">$D4*H4</f>
        <v>79.9</v>
      </c>
      <c r="X4" s="58" t="n">
        <f aca="false">$D4*I4</f>
        <v>79.9</v>
      </c>
      <c r="Y4" s="58" t="n">
        <f aca="false">$D4*J4</f>
        <v>79.9</v>
      </c>
      <c r="Z4" s="58" t="n">
        <f aca="false">$D4*K4</f>
        <v>79.9</v>
      </c>
      <c r="AA4" s="58" t="n">
        <f aca="false">$D4*L4</f>
        <v>79.9</v>
      </c>
      <c r="AB4" s="58" t="n">
        <f aca="false">$D4*M4</f>
        <v>79.9</v>
      </c>
      <c r="AC4" s="58" t="n">
        <f aca="false">$D4*N4</f>
        <v>79.9</v>
      </c>
      <c r="AD4" s="58" t="n">
        <f aca="false">$D4*O4</f>
        <v>79.9</v>
      </c>
      <c r="AE4" s="58" t="n">
        <f aca="false">$D4*P4</f>
        <v>79.9</v>
      </c>
      <c r="AF4" s="58" t="n">
        <f aca="false">$D4*Q4</f>
        <v>79.9</v>
      </c>
      <c r="AG4" s="58" t="n">
        <f aca="false">$D4*R4</f>
        <v>79.9</v>
      </c>
      <c r="AH4" s="58" t="n">
        <f aca="false">$D4*S4</f>
        <v>79.9</v>
      </c>
      <c r="AI4" s="59" t="n">
        <f aca="false">AJ4/$AI$2</f>
        <v>0.0880085181377589</v>
      </c>
      <c r="AJ4" s="58" t="n">
        <f aca="false">SUM(T4:AH4)</f>
        <v>1198.5</v>
      </c>
    </row>
    <row r="5" customFormat="false" ht="15" hidden="false" customHeight="false" outlineLevel="0" collapsed="false">
      <c r="A5" s="60" t="n">
        <v>2</v>
      </c>
      <c r="B5" s="61" t="s">
        <v>50</v>
      </c>
      <c r="C5" s="62" t="s">
        <v>51</v>
      </c>
      <c r="D5" s="63" t="n">
        <f aca="false">VLOOKUP(C5,'[1]PREÇO ATUAL'!$A$1:$D$1048576,4,0)</f>
        <v>35.9</v>
      </c>
      <c r="E5" s="64"/>
      <c r="F5" s="64" t="n">
        <v>1</v>
      </c>
      <c r="G5" s="64"/>
      <c r="H5" s="64" t="n">
        <v>1</v>
      </c>
      <c r="I5" s="65"/>
      <c r="J5" s="65" t="n">
        <v>1</v>
      </c>
      <c r="K5" s="65"/>
      <c r="L5" s="65" t="n">
        <v>1</v>
      </c>
      <c r="M5" s="65"/>
      <c r="N5" s="64" t="n">
        <v>1</v>
      </c>
      <c r="O5" s="79"/>
      <c r="P5" s="65" t="n">
        <v>1</v>
      </c>
      <c r="Q5" s="65"/>
      <c r="R5" s="65" t="n">
        <v>1</v>
      </c>
      <c r="S5" s="65"/>
      <c r="T5" s="66" t="n">
        <f aca="false">$D5*E5</f>
        <v>0</v>
      </c>
      <c r="U5" s="66" t="n">
        <f aca="false">$D5*F5</f>
        <v>35.9</v>
      </c>
      <c r="V5" s="66" t="n">
        <f aca="false">$D5*G5</f>
        <v>0</v>
      </c>
      <c r="W5" s="66" t="n">
        <f aca="false">$D5*H5</f>
        <v>35.9</v>
      </c>
      <c r="X5" s="66" t="n">
        <f aca="false">$D5*I5</f>
        <v>0</v>
      </c>
      <c r="Y5" s="66" t="n">
        <f aca="false">$D5*J5</f>
        <v>35.9</v>
      </c>
      <c r="Z5" s="66" t="n">
        <f aca="false">$D5*K5</f>
        <v>0</v>
      </c>
      <c r="AA5" s="66" t="n">
        <f aca="false">$D5*L5</f>
        <v>35.9</v>
      </c>
      <c r="AB5" s="66" t="n">
        <f aca="false">$D5*M5</f>
        <v>0</v>
      </c>
      <c r="AC5" s="66" t="n">
        <f aca="false">$D5*N5</f>
        <v>35.9</v>
      </c>
      <c r="AD5" s="66" t="n">
        <f aca="false">$D5*O5</f>
        <v>0</v>
      </c>
      <c r="AE5" s="66" t="n">
        <f aca="false">$D5*P5</f>
        <v>35.9</v>
      </c>
      <c r="AF5" s="66" t="n">
        <f aca="false">$D5*Q5</f>
        <v>0</v>
      </c>
      <c r="AG5" s="66" t="n">
        <f aca="false">$D5*R5</f>
        <v>35.9</v>
      </c>
      <c r="AH5" s="66" t="n">
        <f aca="false">$D5*S5</f>
        <v>0</v>
      </c>
      <c r="AI5" s="67" t="n">
        <f aca="false">AJ5/$AI$2</f>
        <v>0.0184535174034366</v>
      </c>
      <c r="AJ5" s="66" t="n">
        <f aca="false">SUM(T5:AH5)</f>
        <v>251.3</v>
      </c>
    </row>
    <row r="6" customFormat="false" ht="15" hidden="false" customHeight="false" outlineLevel="0" collapsed="false">
      <c r="A6" s="52" t="n">
        <v>3</v>
      </c>
      <c r="B6" s="53" t="s">
        <v>52</v>
      </c>
      <c r="C6" s="54" t="s">
        <v>53</v>
      </c>
      <c r="D6" s="55" t="n">
        <f aca="false">VLOOKUP(C6,'[1]PREÇO ATUAL'!$A$1:$D$1048576,4,0)</f>
        <v>89.9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56" t="n">
        <v>1</v>
      </c>
      <c r="O6" s="80"/>
      <c r="P6" s="57" t="n">
        <v>1</v>
      </c>
      <c r="Q6" s="57"/>
      <c r="R6" s="57" t="n">
        <v>1</v>
      </c>
      <c r="S6" s="57"/>
      <c r="T6" s="58" t="n">
        <f aca="false">$D6*E6</f>
        <v>0</v>
      </c>
      <c r="U6" s="58" t="n">
        <f aca="false">$D6*F6</f>
        <v>89.9</v>
      </c>
      <c r="V6" s="58" t="n">
        <f aca="false">$D6*G6</f>
        <v>0</v>
      </c>
      <c r="W6" s="58" t="n">
        <f aca="false">$D6*H6</f>
        <v>89.9</v>
      </c>
      <c r="X6" s="58" t="n">
        <f aca="false">$D6*I6</f>
        <v>0</v>
      </c>
      <c r="Y6" s="58" t="n">
        <f aca="false">$D6*J6</f>
        <v>89.9</v>
      </c>
      <c r="Z6" s="58" t="n">
        <f aca="false">$D6*K6</f>
        <v>0</v>
      </c>
      <c r="AA6" s="58" t="n">
        <f aca="false">$D6*L6</f>
        <v>89.9</v>
      </c>
      <c r="AB6" s="58" t="n">
        <f aca="false">$D6*M6</f>
        <v>0</v>
      </c>
      <c r="AC6" s="58" t="n">
        <f aca="false">$D6*N6</f>
        <v>89.9</v>
      </c>
      <c r="AD6" s="58" t="n">
        <f aca="false">$D6*O6</f>
        <v>0</v>
      </c>
      <c r="AE6" s="58" t="n">
        <f aca="false">$D6*P6</f>
        <v>89.9</v>
      </c>
      <c r="AF6" s="58" t="n">
        <f aca="false">$D6*Q6</f>
        <v>0</v>
      </c>
      <c r="AG6" s="58" t="n">
        <f aca="false">$D6*R6</f>
        <v>89.9</v>
      </c>
      <c r="AH6" s="58" t="n">
        <f aca="false">$D6*S6</f>
        <v>0</v>
      </c>
      <c r="AI6" s="59" t="n">
        <f aca="false">AJ6/$AI$2</f>
        <v>0.0462108973417536</v>
      </c>
      <c r="AJ6" s="58" t="n">
        <f aca="false">SUM(T6:AH6)</f>
        <v>629.3</v>
      </c>
    </row>
    <row r="7" customFormat="false" ht="15" hidden="false" customHeight="false" outlineLevel="0" collapsed="false">
      <c r="A7" s="60" t="n">
        <v>4</v>
      </c>
      <c r="B7" s="61" t="s">
        <v>54</v>
      </c>
      <c r="C7" s="62" t="s">
        <v>55</v>
      </c>
      <c r="D7" s="63" t="n">
        <f aca="false">VLOOKUP(C7,'[1]PREÇO ATUAL'!$A$1:$D$1048576,4,0)</f>
        <v>175.9</v>
      </c>
      <c r="E7" s="64"/>
      <c r="F7" s="64"/>
      <c r="G7" s="64"/>
      <c r="H7" s="64" t="n">
        <v>3</v>
      </c>
      <c r="I7" s="65"/>
      <c r="J7" s="65"/>
      <c r="K7" s="65"/>
      <c r="L7" s="65" t="n">
        <v>3</v>
      </c>
      <c r="M7" s="65"/>
      <c r="N7" s="64"/>
      <c r="O7" s="79"/>
      <c r="P7" s="65" t="n">
        <v>3</v>
      </c>
      <c r="Q7" s="65"/>
      <c r="R7" s="65"/>
      <c r="S7" s="65"/>
      <c r="T7" s="66" t="n">
        <f aca="false">$D7*E7</f>
        <v>0</v>
      </c>
      <c r="U7" s="66" t="n">
        <f aca="false">$D7*F7</f>
        <v>0</v>
      </c>
      <c r="V7" s="66" t="n">
        <f aca="false">$D7*G7</f>
        <v>0</v>
      </c>
      <c r="W7" s="66" t="n">
        <f aca="false">$D7*H7</f>
        <v>527.7</v>
      </c>
      <c r="X7" s="66" t="n">
        <f aca="false">$D7*I7</f>
        <v>0</v>
      </c>
      <c r="Y7" s="66" t="n">
        <f aca="false">$D7*J7</f>
        <v>0</v>
      </c>
      <c r="Z7" s="66" t="n">
        <f aca="false">$D7*K7</f>
        <v>0</v>
      </c>
      <c r="AA7" s="66" t="n">
        <f aca="false">$D7*L7</f>
        <v>527.7</v>
      </c>
      <c r="AB7" s="66" t="n">
        <f aca="false">$D7*M7</f>
        <v>0</v>
      </c>
      <c r="AC7" s="66" t="n">
        <f aca="false">$D7*N7</f>
        <v>0</v>
      </c>
      <c r="AD7" s="66" t="n">
        <f aca="false">$D7*O7</f>
        <v>0</v>
      </c>
      <c r="AE7" s="66" t="n">
        <f aca="false">$D7*P7</f>
        <v>527.7</v>
      </c>
      <c r="AF7" s="66" t="n">
        <f aca="false">$D7*Q7</f>
        <v>0</v>
      </c>
      <c r="AG7" s="66" t="n">
        <f aca="false">$D7*R7</f>
        <v>0</v>
      </c>
      <c r="AH7" s="66" t="n">
        <f aca="false">$D7*S7</f>
        <v>0</v>
      </c>
      <c r="AI7" s="67" t="n">
        <f aca="false">AJ7/$AI$2</f>
        <v>0.116250550741665</v>
      </c>
      <c r="AJ7" s="66" t="n">
        <f aca="false">SUM(T7:AH7)</f>
        <v>1583.1</v>
      </c>
    </row>
    <row r="8" customFormat="false" ht="15" hidden="false" customHeight="false" outlineLevel="0" collapsed="false">
      <c r="A8" s="52" t="n">
        <v>5</v>
      </c>
      <c r="B8" s="53" t="s">
        <v>56</v>
      </c>
      <c r="C8" s="54" t="s">
        <v>57</v>
      </c>
      <c r="D8" s="55" t="n">
        <f aca="false">VLOOKUP(C8,'[1]PREÇO ATUAL'!$A$1:$D$1048576,4,0)</f>
        <v>143.23</v>
      </c>
      <c r="E8" s="56"/>
      <c r="F8" s="56"/>
      <c r="G8" s="56"/>
      <c r="H8" s="56"/>
      <c r="I8" s="57"/>
      <c r="J8" s="57" t="n">
        <v>1</v>
      </c>
      <c r="K8" s="57"/>
      <c r="L8" s="57"/>
      <c r="M8" s="57"/>
      <c r="N8" s="56"/>
      <c r="O8" s="80"/>
      <c r="P8" s="57" t="n">
        <v>1</v>
      </c>
      <c r="Q8" s="57"/>
      <c r="R8" s="57"/>
      <c r="S8" s="57"/>
      <c r="T8" s="58" t="n">
        <f aca="false">$D8*E8</f>
        <v>0</v>
      </c>
      <c r="U8" s="58" t="n">
        <f aca="false">$D8*F8</f>
        <v>0</v>
      </c>
      <c r="V8" s="58" t="n">
        <f aca="false">$D8*G8</f>
        <v>0</v>
      </c>
      <c r="W8" s="58" t="n">
        <f aca="false">$D8*H8</f>
        <v>0</v>
      </c>
      <c r="X8" s="58" t="n">
        <f aca="false">$D8*I8</f>
        <v>0</v>
      </c>
      <c r="Y8" s="58" t="n">
        <f aca="false">$D8*J8</f>
        <v>143.23</v>
      </c>
      <c r="Z8" s="58" t="n">
        <f aca="false">$D8*K8</f>
        <v>0</v>
      </c>
      <c r="AA8" s="58" t="n">
        <f aca="false">$D8*L8</f>
        <v>0</v>
      </c>
      <c r="AB8" s="58" t="n">
        <f aca="false">$D8*M8</f>
        <v>0</v>
      </c>
      <c r="AC8" s="58" t="n">
        <f aca="false">$D8*N8</f>
        <v>0</v>
      </c>
      <c r="AD8" s="58" t="n">
        <f aca="false">$D8*O8</f>
        <v>0</v>
      </c>
      <c r="AE8" s="58" t="n">
        <f aca="false">$D8*P8</f>
        <v>143.23</v>
      </c>
      <c r="AF8" s="58" t="n">
        <f aca="false">$D8*Q8</f>
        <v>0</v>
      </c>
      <c r="AG8" s="58" t="n">
        <f aca="false">$D8*R8</f>
        <v>0</v>
      </c>
      <c r="AH8" s="58" t="n">
        <f aca="false">$D8*S8</f>
        <v>0</v>
      </c>
      <c r="AI8" s="59" t="n">
        <f aca="false">AJ8/$AI$2</f>
        <v>0.0210353943310325</v>
      </c>
      <c r="AJ8" s="58" t="n">
        <f aca="false">SUM(T8:AH8)</f>
        <v>286.46</v>
      </c>
    </row>
    <row r="9" customFormat="false" ht="38.25" hidden="false" customHeight="false" outlineLevel="0" collapsed="false">
      <c r="A9" s="60" t="n">
        <v>6</v>
      </c>
      <c r="B9" s="73" t="s">
        <v>132</v>
      </c>
      <c r="C9" s="62" t="s">
        <v>59</v>
      </c>
      <c r="D9" s="63" t="n">
        <f aca="false">VLOOKUP(C9,'[1]PREÇO ATUAL'!$A$1:$D$1048576,4,0)</f>
        <v>165.97812</v>
      </c>
      <c r="E9" s="64"/>
      <c r="F9" s="64"/>
      <c r="G9" s="64"/>
      <c r="H9" s="64"/>
      <c r="I9" s="65"/>
      <c r="J9" s="65"/>
      <c r="K9" s="65"/>
      <c r="L9" s="65"/>
      <c r="M9" s="65"/>
      <c r="N9" s="64"/>
      <c r="O9" s="79"/>
      <c r="P9" s="68" t="n">
        <v>2</v>
      </c>
      <c r="Q9" s="65"/>
      <c r="R9" s="65"/>
      <c r="S9" s="65"/>
      <c r="T9" s="66" t="n">
        <f aca="false">$D9*E9</f>
        <v>0</v>
      </c>
      <c r="U9" s="66" t="n">
        <f aca="false">$D9*F9</f>
        <v>0</v>
      </c>
      <c r="V9" s="66" t="n">
        <f aca="false">$D9*G9</f>
        <v>0</v>
      </c>
      <c r="W9" s="66" t="n">
        <f aca="false">$D9*H9</f>
        <v>0</v>
      </c>
      <c r="X9" s="66" t="n">
        <f aca="false">$D9*I9</f>
        <v>0</v>
      </c>
      <c r="Y9" s="66" t="n">
        <f aca="false">$D9*J9</f>
        <v>0</v>
      </c>
      <c r="Z9" s="66" t="n">
        <f aca="false">$D9*K9</f>
        <v>0</v>
      </c>
      <c r="AA9" s="66" t="n">
        <f aca="false">$D9*L9</f>
        <v>0</v>
      </c>
      <c r="AB9" s="66" t="n">
        <f aca="false">$D9*M9</f>
        <v>0</v>
      </c>
      <c r="AC9" s="66" t="n">
        <f aca="false">$D9*N9</f>
        <v>0</v>
      </c>
      <c r="AD9" s="66" t="n">
        <f aca="false">$D9*O9</f>
        <v>0</v>
      </c>
      <c r="AE9" s="66" t="n">
        <f aca="false">$D9*P9</f>
        <v>331.95624</v>
      </c>
      <c r="AF9" s="66" t="n">
        <f aca="false">$D9*Q9</f>
        <v>0</v>
      </c>
      <c r="AG9" s="66" t="n">
        <f aca="false">$D9*R9</f>
        <v>0</v>
      </c>
      <c r="AH9" s="66" t="n">
        <f aca="false">$D9*S9</f>
        <v>0</v>
      </c>
      <c r="AI9" s="67" t="n">
        <f aca="false">AJ9/$AI$2</f>
        <v>0.0243762843295638</v>
      </c>
      <c r="AJ9" s="66" t="n">
        <f aca="false">SUM(T9:AH9)</f>
        <v>331.95624</v>
      </c>
    </row>
    <row r="10" customFormat="false" ht="15" hidden="false" customHeight="false" outlineLevel="0" collapsed="false">
      <c r="A10" s="52" t="n">
        <v>7</v>
      </c>
      <c r="B10" s="53" t="s">
        <v>60</v>
      </c>
      <c r="C10" s="54" t="s">
        <v>61</v>
      </c>
      <c r="D10" s="55" t="n">
        <f aca="false">VLOOKUP(C10,'[1]PREÇO ATUAL'!$A$1:$D$1048576,4,0)</f>
        <v>33.6224930838505</v>
      </c>
      <c r="E10" s="56"/>
      <c r="F10" s="56"/>
      <c r="G10" s="56"/>
      <c r="H10" s="56"/>
      <c r="I10" s="57"/>
      <c r="J10" s="57"/>
      <c r="K10" s="57"/>
      <c r="L10" s="57"/>
      <c r="M10" s="57"/>
      <c r="N10" s="56"/>
      <c r="O10" s="80"/>
      <c r="P10" s="57"/>
      <c r="Q10" s="57"/>
      <c r="R10" s="57"/>
      <c r="S10" s="57"/>
      <c r="T10" s="58" t="n">
        <f aca="false">$D10*E10</f>
        <v>0</v>
      </c>
      <c r="U10" s="58" t="n">
        <f aca="false">$D10*F10</f>
        <v>0</v>
      </c>
      <c r="V10" s="58" t="n">
        <f aca="false">$D10*G10</f>
        <v>0</v>
      </c>
      <c r="W10" s="58" t="n">
        <f aca="false">$D10*H10</f>
        <v>0</v>
      </c>
      <c r="X10" s="58" t="n">
        <f aca="false">$D10*I10</f>
        <v>0</v>
      </c>
      <c r="Y10" s="58" t="n">
        <f aca="false">$D10*J10</f>
        <v>0</v>
      </c>
      <c r="Z10" s="58" t="n">
        <f aca="false">$D10*K10</f>
        <v>0</v>
      </c>
      <c r="AA10" s="58" t="n">
        <f aca="false">$D10*L10</f>
        <v>0</v>
      </c>
      <c r="AB10" s="58" t="n">
        <f aca="false">$D10*M10</f>
        <v>0</v>
      </c>
      <c r="AC10" s="58" t="n">
        <f aca="false">$D10*N10</f>
        <v>0</v>
      </c>
      <c r="AD10" s="58" t="n">
        <f aca="false">$D10*O10</f>
        <v>0</v>
      </c>
      <c r="AE10" s="58" t="n">
        <f aca="false">$D10*P10</f>
        <v>0</v>
      </c>
      <c r="AF10" s="58" t="n">
        <f aca="false">$D10*Q10</f>
        <v>0</v>
      </c>
      <c r="AG10" s="58" t="n">
        <f aca="false">$D10*R10</f>
        <v>0</v>
      </c>
      <c r="AH10" s="58" t="n">
        <f aca="false">$D10*S10</f>
        <v>0</v>
      </c>
      <c r="AI10" s="59" t="n">
        <f aca="false">AJ10/$AI$2</f>
        <v>0</v>
      </c>
      <c r="AJ10" s="58" t="n">
        <f aca="false">SUM(T10:AH10)</f>
        <v>0</v>
      </c>
    </row>
    <row r="11" customFormat="false" ht="15" hidden="false" customHeight="false" outlineLevel="0" collapsed="false">
      <c r="A11" s="60" t="n">
        <v>8</v>
      </c>
      <c r="B11" s="61" t="s">
        <v>62</v>
      </c>
      <c r="C11" s="62" t="s">
        <v>63</v>
      </c>
      <c r="D11" s="63" t="n">
        <f aca="false">VLOOKUP(C11,'[1]PREÇO ATUAL'!$A$1:$D$1048576,4,0)</f>
        <v>81.26</v>
      </c>
      <c r="E11" s="82" t="n">
        <v>2.54</v>
      </c>
      <c r="F11" s="82" t="n">
        <v>2.54</v>
      </c>
      <c r="G11" s="82" t="n">
        <v>2.54</v>
      </c>
      <c r="H11" s="82" t="n">
        <v>2.54</v>
      </c>
      <c r="I11" s="83" t="n">
        <v>2.54</v>
      </c>
      <c r="J11" s="83" t="n">
        <v>2.54</v>
      </c>
      <c r="K11" s="83" t="n">
        <v>2.54</v>
      </c>
      <c r="L11" s="83" t="n">
        <v>2.54</v>
      </c>
      <c r="M11" s="83" t="n">
        <v>2.54</v>
      </c>
      <c r="N11" s="82" t="n">
        <v>2.54</v>
      </c>
      <c r="O11" s="111" t="n">
        <v>2.54</v>
      </c>
      <c r="P11" s="83" t="n">
        <v>2.54</v>
      </c>
      <c r="Q11" s="83" t="n">
        <v>2.54</v>
      </c>
      <c r="R11" s="83" t="n">
        <v>2.54</v>
      </c>
      <c r="S11" s="83" t="n">
        <v>2.54</v>
      </c>
      <c r="T11" s="66" t="n">
        <f aca="false">$D11*E11</f>
        <v>206.4004</v>
      </c>
      <c r="U11" s="66" t="n">
        <f aca="false">$D11*F11</f>
        <v>206.4004</v>
      </c>
      <c r="V11" s="66" t="n">
        <f aca="false">$D11*G11</f>
        <v>206.4004</v>
      </c>
      <c r="W11" s="66" t="n">
        <f aca="false">$D11*H11</f>
        <v>206.4004</v>
      </c>
      <c r="X11" s="66" t="n">
        <f aca="false">$D11*I11</f>
        <v>206.4004</v>
      </c>
      <c r="Y11" s="66" t="n">
        <f aca="false">$D11*J11</f>
        <v>206.4004</v>
      </c>
      <c r="Z11" s="66" t="n">
        <f aca="false">$D11*K11</f>
        <v>206.4004</v>
      </c>
      <c r="AA11" s="66" t="n">
        <f aca="false">$D11*L11</f>
        <v>206.4004</v>
      </c>
      <c r="AB11" s="66" t="n">
        <f aca="false">$D11*M11</f>
        <v>206.4004</v>
      </c>
      <c r="AC11" s="66" t="n">
        <f aca="false">$D11*N11</f>
        <v>206.4004</v>
      </c>
      <c r="AD11" s="66" t="n">
        <f aca="false">$D11*O11</f>
        <v>206.4004</v>
      </c>
      <c r="AE11" s="66" t="n">
        <f aca="false">$D11*P11</f>
        <v>206.4004</v>
      </c>
      <c r="AF11" s="66" t="n">
        <f aca="false">$D11*Q11</f>
        <v>206.4004</v>
      </c>
      <c r="AG11" s="66" t="n">
        <f aca="false">$D11*R11</f>
        <v>206.4004</v>
      </c>
      <c r="AH11" s="66" t="n">
        <f aca="false">$D11*S11</f>
        <v>206.4004</v>
      </c>
      <c r="AI11" s="67" t="n">
        <f aca="false">AJ11/$AI$2</f>
        <v>0.227346600088119</v>
      </c>
      <c r="AJ11" s="66" t="n">
        <f aca="false">SUM(T11:AH11)</f>
        <v>3096.006</v>
      </c>
    </row>
    <row r="12" customFormat="false" ht="15" hidden="false" customHeight="false" outlineLevel="0" collapsed="false">
      <c r="A12" s="52" t="n">
        <v>9</v>
      </c>
      <c r="B12" s="53" t="s">
        <v>64</v>
      </c>
      <c r="C12" s="54" t="s">
        <v>65</v>
      </c>
      <c r="D12" s="55" t="n">
        <f aca="false">VLOOKUP(C12,'[1]PREÇO ATUAL'!$A$1:$D$1048576,4,0)</f>
        <v>342</v>
      </c>
      <c r="E12" s="84" t="n">
        <v>0.85</v>
      </c>
      <c r="F12" s="84" t="n">
        <v>1.2</v>
      </c>
      <c r="G12" s="84" t="n">
        <v>0.9</v>
      </c>
      <c r="H12" s="84" t="n">
        <v>2.15</v>
      </c>
      <c r="I12" s="85" t="n">
        <v>1</v>
      </c>
      <c r="J12" s="85" t="n">
        <v>1.45</v>
      </c>
      <c r="K12" s="85" t="n">
        <v>0.85</v>
      </c>
      <c r="L12" s="85" t="n">
        <v>2.15</v>
      </c>
      <c r="M12" s="85" t="n">
        <v>0.9</v>
      </c>
      <c r="N12" s="84" t="n">
        <v>1.35</v>
      </c>
      <c r="O12" s="110" t="n">
        <v>0.85</v>
      </c>
      <c r="P12" s="85" t="n">
        <v>1.5</v>
      </c>
      <c r="Q12" s="85" t="n">
        <v>0.85</v>
      </c>
      <c r="R12" s="85" t="n">
        <v>1.2</v>
      </c>
      <c r="S12" s="85" t="n">
        <v>1.05</v>
      </c>
      <c r="T12" s="58" t="n">
        <f aca="false">D12*E12</f>
        <v>290.7</v>
      </c>
      <c r="U12" s="58" t="n">
        <f aca="false">$D12*F12</f>
        <v>410.4</v>
      </c>
      <c r="V12" s="58" t="n">
        <f aca="false">$D12*G12</f>
        <v>307.8</v>
      </c>
      <c r="W12" s="58" t="n">
        <f aca="false">$D12*H12</f>
        <v>735.3</v>
      </c>
      <c r="X12" s="58" t="n">
        <f aca="false">$D12*I12</f>
        <v>342</v>
      </c>
      <c r="Y12" s="58" t="n">
        <f aca="false">$D12*J12</f>
        <v>495.9</v>
      </c>
      <c r="Z12" s="58" t="n">
        <f aca="false">$D12*K12</f>
        <v>290.7</v>
      </c>
      <c r="AA12" s="58" t="n">
        <f aca="false">$D12*L12</f>
        <v>735.3</v>
      </c>
      <c r="AB12" s="58" t="n">
        <f aca="false">$D12*M12</f>
        <v>307.8</v>
      </c>
      <c r="AC12" s="58" t="n">
        <f aca="false">$D12*N12</f>
        <v>461.7</v>
      </c>
      <c r="AD12" s="58" t="n">
        <f aca="false">$D12*O12</f>
        <v>290.7</v>
      </c>
      <c r="AE12" s="58" t="n">
        <f aca="false">$D12*P12</f>
        <v>513</v>
      </c>
      <c r="AF12" s="58" t="n">
        <f aca="false">$D12*Q12</f>
        <v>290.7</v>
      </c>
      <c r="AG12" s="58" t="n">
        <f aca="false">$D12*R12</f>
        <v>410.4</v>
      </c>
      <c r="AH12" s="58" t="n">
        <f aca="false">$D12*S12</f>
        <v>359.1</v>
      </c>
      <c r="AI12" s="59" t="n">
        <f aca="false">AJ12/$AI$2</f>
        <v>0.458327213981495</v>
      </c>
      <c r="AJ12" s="58" t="n">
        <f aca="false">SUM(T12:AH12)</f>
        <v>6241.5</v>
      </c>
    </row>
    <row r="13" customFormat="false" ht="15" hidden="false" customHeight="false" outlineLevel="0" collapsed="false">
      <c r="H13" s="71"/>
    </row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</sheetData>
  <mergeCells count="5">
    <mergeCell ref="A1:D2"/>
    <mergeCell ref="E1:S2"/>
    <mergeCell ref="T1:AH1"/>
    <mergeCell ref="AI1:AJ1"/>
    <mergeCell ref="AI2:AJ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J96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pane xSplit="4" ySplit="0" topLeftCell="Y15" activePane="topRight" state="frozen"/>
      <selection pane="topLeft" activeCell="A15" activeCellId="0" sqref="A15"/>
      <selection pane="topRight" activeCell="A13" activeCellId="0" sqref="A13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60.42"/>
    <col collapsed="false" customWidth="true" hidden="false" outlineLevel="0" max="3" min="3" style="0" width="16.87"/>
    <col collapsed="false" customWidth="true" hidden="false" outlineLevel="0" max="4" min="4" style="0" width="8.71"/>
    <col collapsed="false" customWidth="true" hidden="false" outlineLevel="0" max="5" min="5" style="0" width="6.57"/>
    <col collapsed="false" customWidth="true" hidden="false" outlineLevel="0" max="13" min="6" style="0" width="5.43"/>
    <col collapsed="false" customWidth="true" hidden="false" outlineLevel="0" max="19" min="14" style="0" width="5.57"/>
    <col collapsed="false" customWidth="true" hidden="false" outlineLevel="0" max="22" min="20" style="0" width="15"/>
    <col collapsed="false" customWidth="true" hidden="false" outlineLevel="0" max="23" min="23" style="0" width="17.13"/>
    <col collapsed="false" customWidth="true" hidden="false" outlineLevel="0" max="24" min="24" style="0" width="15"/>
    <col collapsed="false" customWidth="true" hidden="false" outlineLevel="0" max="25" min="25" style="0" width="17.13"/>
    <col collapsed="false" customWidth="true" hidden="false" outlineLevel="0" max="26" min="26" style="0" width="15"/>
    <col collapsed="false" customWidth="true" hidden="false" outlineLevel="0" max="27" min="27" style="0" width="17.13"/>
    <col collapsed="false" customWidth="true" hidden="false" outlineLevel="0" max="30" min="28" style="0" width="15"/>
    <col collapsed="false" customWidth="true" hidden="false" outlineLevel="0" max="31" min="31" style="0" width="15.71"/>
    <col collapsed="false" customWidth="true" hidden="false" outlineLevel="0" max="34" min="32" style="0" width="15"/>
    <col collapsed="false" customWidth="true" hidden="false" outlineLevel="0" max="35" min="35" style="0" width="8.41"/>
    <col collapsed="false" customWidth="true" hidden="false" outlineLevel="0" max="36" min="36" style="0" width="15.57"/>
  </cols>
  <sheetData>
    <row r="1" customFormat="false" ht="15" hidden="false" customHeight="false" outlineLevel="0" collapsed="false">
      <c r="A1" s="89" t="s">
        <v>139</v>
      </c>
      <c r="B1" s="89"/>
      <c r="C1" s="89"/>
      <c r="D1" s="89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77" t="s">
        <v>30</v>
      </c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37" t="s">
        <v>31</v>
      </c>
      <c r="AJ1" s="37"/>
    </row>
    <row r="2" customFormat="false" ht="15" hidden="false" customHeight="false" outlineLevel="0" collapsed="false">
      <c r="A2" s="89"/>
      <c r="B2" s="89"/>
      <c r="C2" s="89"/>
      <c r="D2" s="89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43" t="n">
        <f aca="false">MROUND(SUM(T4:T11),1)</f>
        <v>644</v>
      </c>
      <c r="U2" s="43" t="n">
        <f aca="false">MROUND(SUM(U4:U11),1)</f>
        <v>889</v>
      </c>
      <c r="V2" s="43" t="n">
        <f aca="false">MROUND(SUM(V4:V11),1)</f>
        <v>661</v>
      </c>
      <c r="W2" s="43" t="n">
        <f aca="false">MROUND(SUM(W4:W11),1)</f>
        <v>1918</v>
      </c>
      <c r="X2" s="43" t="n">
        <f aca="false">MROUND(SUM(X4:X11),1)</f>
        <v>695</v>
      </c>
      <c r="Y2" s="43" t="n">
        <f aca="false">MROUND(SUM(Y4:Y11),1)</f>
        <v>1118</v>
      </c>
      <c r="Z2" s="43" t="n">
        <f aca="false">MROUND(SUM(Z4:Z11),1)</f>
        <v>644</v>
      </c>
      <c r="AA2" s="43" t="n">
        <f aca="false">MROUND(SUM(AA4:AA11),1)</f>
        <v>1918</v>
      </c>
      <c r="AB2" s="43" t="n">
        <f aca="false">MROUND(SUM(AB4:AB11),1)</f>
        <v>661</v>
      </c>
      <c r="AC2" s="43" t="n">
        <f aca="false">MROUND(SUM(AC4:AC11),1)</f>
        <v>940</v>
      </c>
      <c r="AD2" s="43" t="n">
        <f aca="false">MROUND(SUM(AD4:AD11),1)</f>
        <v>644</v>
      </c>
      <c r="AE2" s="43" t="n">
        <f aca="false">MROUND(SUM(AE4:AE11),1)</f>
        <v>1839</v>
      </c>
      <c r="AF2" s="43" t="n">
        <f aca="false">MROUND(SUM(AF4:AF11),1)</f>
        <v>644</v>
      </c>
      <c r="AG2" s="43" t="n">
        <f aca="false">MROUND(SUM(AG4:AG11),1)</f>
        <v>889</v>
      </c>
      <c r="AH2" s="43" t="n">
        <f aca="false">MROUND(SUM(AH4:AH11),1)</f>
        <v>712</v>
      </c>
      <c r="AI2" s="44" t="n">
        <f aca="false">SUM(T2:AH2)</f>
        <v>14816</v>
      </c>
      <c r="AJ2" s="44"/>
    </row>
    <row r="3" customFormat="false" ht="15" hidden="false" customHeight="false" outlineLevel="0" collapsed="false">
      <c r="A3" s="45" t="s">
        <v>32</v>
      </c>
      <c r="B3" s="45" t="s">
        <v>33</v>
      </c>
      <c r="C3" s="46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n">
        <v>11</v>
      </c>
      <c r="P3" s="48" t="n">
        <v>12</v>
      </c>
      <c r="Q3" s="48" t="n">
        <v>13</v>
      </c>
      <c r="R3" s="48" t="n">
        <v>14</v>
      </c>
      <c r="S3" s="48" t="n">
        <v>15</v>
      </c>
      <c r="T3" s="48" t="n">
        <v>10000</v>
      </c>
      <c r="U3" s="48" t="n">
        <v>20000</v>
      </c>
      <c r="V3" s="48" t="n">
        <v>30000</v>
      </c>
      <c r="W3" s="48" t="n">
        <v>40000</v>
      </c>
      <c r="X3" s="48" t="n">
        <v>50000</v>
      </c>
      <c r="Y3" s="48" t="n">
        <v>60000</v>
      </c>
      <c r="Z3" s="48" t="n">
        <v>70000</v>
      </c>
      <c r="AA3" s="48" t="n">
        <v>80000</v>
      </c>
      <c r="AB3" s="48" t="n">
        <v>90000</v>
      </c>
      <c r="AC3" s="48" t="n">
        <v>100000</v>
      </c>
      <c r="AD3" s="50" t="n">
        <f aca="false">AC3+10000</f>
        <v>110000</v>
      </c>
      <c r="AE3" s="50" t="n">
        <f aca="false">AD3+10000</f>
        <v>120000</v>
      </c>
      <c r="AF3" s="50" t="n">
        <f aca="false">AE3+10000</f>
        <v>130000</v>
      </c>
      <c r="AG3" s="50" t="n">
        <f aca="false">AF3+10000</f>
        <v>140000</v>
      </c>
      <c r="AH3" s="50" t="n">
        <f aca="false">AG3+10000</f>
        <v>150000</v>
      </c>
      <c r="AI3" s="51" t="s">
        <v>46</v>
      </c>
      <c r="AJ3" s="45" t="s">
        <v>47</v>
      </c>
    </row>
    <row r="4" customFormat="false" ht="15" hidden="false" customHeight="false" outlineLevel="0" collapsed="false">
      <c r="A4" s="52" t="n">
        <v>1</v>
      </c>
      <c r="B4" s="53" t="s">
        <v>48</v>
      </c>
      <c r="C4" s="54" t="s">
        <v>49</v>
      </c>
      <c r="D4" s="55" t="n">
        <f aca="false">VLOOKUP(C4,'[1]PREÇO ATUAL'!$A$1:$D$1048576,4,0)</f>
        <v>79.9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6" t="n">
        <v>1</v>
      </c>
      <c r="O4" s="80" t="n">
        <v>1</v>
      </c>
      <c r="P4" s="80" t="n">
        <v>1</v>
      </c>
      <c r="Q4" s="80" t="n">
        <v>1</v>
      </c>
      <c r="R4" s="80" t="n">
        <v>1</v>
      </c>
      <c r="S4" s="80" t="n">
        <v>1</v>
      </c>
      <c r="T4" s="58" t="n">
        <f aca="false">$D4*E4</f>
        <v>79.9</v>
      </c>
      <c r="U4" s="58" t="n">
        <f aca="false">$D4*F4</f>
        <v>79.9</v>
      </c>
      <c r="V4" s="58" t="n">
        <f aca="false">$D4*G4</f>
        <v>79.9</v>
      </c>
      <c r="W4" s="58" t="n">
        <f aca="false">$D4*H4</f>
        <v>79.9</v>
      </c>
      <c r="X4" s="58" t="n">
        <f aca="false">$D4*I4</f>
        <v>79.9</v>
      </c>
      <c r="Y4" s="58" t="n">
        <f aca="false">$D4*J4</f>
        <v>79.9</v>
      </c>
      <c r="Z4" s="58" t="n">
        <f aca="false">$D4*K4</f>
        <v>79.9</v>
      </c>
      <c r="AA4" s="58" t="n">
        <f aca="false">$D4*L4</f>
        <v>79.9</v>
      </c>
      <c r="AB4" s="58" t="n">
        <f aca="false">$D4*M4</f>
        <v>79.9</v>
      </c>
      <c r="AC4" s="58" t="n">
        <f aca="false">$D4*N4</f>
        <v>79.9</v>
      </c>
      <c r="AD4" s="58" t="n">
        <f aca="false">$D4*O4</f>
        <v>79.9</v>
      </c>
      <c r="AE4" s="58" t="n">
        <f aca="false">$D4*P4</f>
        <v>79.9</v>
      </c>
      <c r="AF4" s="58" t="n">
        <f aca="false">$D4*Q4</f>
        <v>79.9</v>
      </c>
      <c r="AG4" s="58" t="n">
        <f aca="false">$D4*R4</f>
        <v>79.9</v>
      </c>
      <c r="AH4" s="58" t="n">
        <f aca="false">$D4*S4</f>
        <v>79.9</v>
      </c>
      <c r="AI4" s="59" t="n">
        <f aca="false">AJ4/$AI$2</f>
        <v>0.0808922786177106</v>
      </c>
      <c r="AJ4" s="58" t="n">
        <f aca="false">SUM(T4:AH4)</f>
        <v>1198.5</v>
      </c>
    </row>
    <row r="5" customFormat="false" ht="15" hidden="false" customHeight="false" outlineLevel="0" collapsed="false">
      <c r="A5" s="60" t="n">
        <v>2</v>
      </c>
      <c r="B5" s="61" t="s">
        <v>50</v>
      </c>
      <c r="C5" s="62" t="s">
        <v>51</v>
      </c>
      <c r="D5" s="63" t="n">
        <f aca="false">VLOOKUP(C5,'[1]PREÇO ATUAL'!$A$1:$D$1048576,4,0)</f>
        <v>35.9</v>
      </c>
      <c r="E5" s="64"/>
      <c r="F5" s="64" t="n">
        <v>1</v>
      </c>
      <c r="G5" s="64"/>
      <c r="H5" s="64" t="n">
        <v>1</v>
      </c>
      <c r="I5" s="65"/>
      <c r="J5" s="65" t="n">
        <v>1</v>
      </c>
      <c r="K5" s="65"/>
      <c r="L5" s="65" t="n">
        <v>1</v>
      </c>
      <c r="M5" s="65"/>
      <c r="N5" s="64" t="n">
        <v>1</v>
      </c>
      <c r="O5" s="79"/>
      <c r="P5" s="65" t="n">
        <v>1</v>
      </c>
      <c r="Q5" s="65"/>
      <c r="R5" s="65" t="n">
        <v>1</v>
      </c>
      <c r="S5" s="65"/>
      <c r="T5" s="66" t="n">
        <f aca="false">$D5*E5</f>
        <v>0</v>
      </c>
      <c r="U5" s="66" t="n">
        <f aca="false">$D5*F5</f>
        <v>35.9</v>
      </c>
      <c r="V5" s="66" t="n">
        <f aca="false">$D5*G5</f>
        <v>0</v>
      </c>
      <c r="W5" s="66" t="n">
        <f aca="false">$D5*H5</f>
        <v>35.9</v>
      </c>
      <c r="X5" s="66" t="n">
        <f aca="false">$D5*I5</f>
        <v>0</v>
      </c>
      <c r="Y5" s="66" t="n">
        <f aca="false">$D5*J5</f>
        <v>35.9</v>
      </c>
      <c r="Z5" s="66" t="n">
        <f aca="false">$D5*K5</f>
        <v>0</v>
      </c>
      <c r="AA5" s="66" t="n">
        <f aca="false">$D5*L5</f>
        <v>35.9</v>
      </c>
      <c r="AB5" s="66" t="n">
        <f aca="false">$D5*M5</f>
        <v>0</v>
      </c>
      <c r="AC5" s="66" t="n">
        <f aca="false">$D5*N5</f>
        <v>35.9</v>
      </c>
      <c r="AD5" s="66" t="n">
        <f aca="false">$D5*O5</f>
        <v>0</v>
      </c>
      <c r="AE5" s="66" t="n">
        <f aca="false">$D5*P5</f>
        <v>35.9</v>
      </c>
      <c r="AF5" s="66" t="n">
        <f aca="false">$D5*Q5</f>
        <v>0</v>
      </c>
      <c r="AG5" s="66" t="n">
        <f aca="false">$D5*R5</f>
        <v>35.9</v>
      </c>
      <c r="AH5" s="66" t="n">
        <f aca="false">$D5*S5</f>
        <v>0</v>
      </c>
      <c r="AI5" s="67" t="n">
        <f aca="false">AJ5/$AI$2</f>
        <v>0.0169613930885529</v>
      </c>
      <c r="AJ5" s="66" t="n">
        <f aca="false">SUM(T5:AH5)</f>
        <v>251.3</v>
      </c>
    </row>
    <row r="6" customFormat="false" ht="15" hidden="false" customHeight="false" outlineLevel="0" collapsed="false">
      <c r="A6" s="52" t="n">
        <v>3</v>
      </c>
      <c r="B6" s="53" t="s">
        <v>52</v>
      </c>
      <c r="C6" s="54" t="s">
        <v>53</v>
      </c>
      <c r="D6" s="55" t="n">
        <f aca="false">VLOOKUP(C6,'[1]PREÇO ATUAL'!$A$1:$D$1048576,4,0)</f>
        <v>89.9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56" t="n">
        <v>1</v>
      </c>
      <c r="O6" s="80"/>
      <c r="P6" s="57" t="n">
        <v>1</v>
      </c>
      <c r="Q6" s="57"/>
      <c r="R6" s="57" t="n">
        <v>1</v>
      </c>
      <c r="S6" s="57"/>
      <c r="T6" s="58" t="n">
        <f aca="false">$D6*E6</f>
        <v>0</v>
      </c>
      <c r="U6" s="58" t="n">
        <f aca="false">$D6*F6</f>
        <v>89.9</v>
      </c>
      <c r="V6" s="58" t="n">
        <f aca="false">$D6*G6</f>
        <v>0</v>
      </c>
      <c r="W6" s="58" t="n">
        <f aca="false">$D6*H6</f>
        <v>89.9</v>
      </c>
      <c r="X6" s="58" t="n">
        <f aca="false">$D6*I6</f>
        <v>0</v>
      </c>
      <c r="Y6" s="58" t="n">
        <f aca="false">$D6*J6</f>
        <v>89.9</v>
      </c>
      <c r="Z6" s="58" t="n">
        <f aca="false">$D6*K6</f>
        <v>0</v>
      </c>
      <c r="AA6" s="58" t="n">
        <f aca="false">$D6*L6</f>
        <v>89.9</v>
      </c>
      <c r="AB6" s="58" t="n">
        <f aca="false">$D6*M6</f>
        <v>0</v>
      </c>
      <c r="AC6" s="58" t="n">
        <f aca="false">$D6*N6</f>
        <v>89.9</v>
      </c>
      <c r="AD6" s="58" t="n">
        <f aca="false">$D6*O6</f>
        <v>0</v>
      </c>
      <c r="AE6" s="58" t="n">
        <f aca="false">$D6*P6</f>
        <v>89.9</v>
      </c>
      <c r="AF6" s="58" t="n">
        <f aca="false">$D6*Q6</f>
        <v>0</v>
      </c>
      <c r="AG6" s="58" t="n">
        <f aca="false">$D6*R6</f>
        <v>89.9</v>
      </c>
      <c r="AH6" s="58" t="n">
        <f aca="false">$D6*S6</f>
        <v>0</v>
      </c>
      <c r="AI6" s="59" t="n">
        <f aca="false">AJ6/$AI$2</f>
        <v>0.0424743520518359</v>
      </c>
      <c r="AJ6" s="58" t="n">
        <f aca="false">SUM(T6:AH6)</f>
        <v>629.3</v>
      </c>
    </row>
    <row r="7" customFormat="false" ht="15.75" hidden="false" customHeight="true" outlineLevel="0" collapsed="false">
      <c r="A7" s="60" t="n">
        <v>4</v>
      </c>
      <c r="B7" s="61" t="s">
        <v>54</v>
      </c>
      <c r="C7" s="62" t="s">
        <v>55</v>
      </c>
      <c r="D7" s="63" t="n">
        <f aca="false">VLOOKUP(C7,'[1]PREÇO ATUAL'!$A$1:$D$1048576,4,0)</f>
        <v>175.9</v>
      </c>
      <c r="E7" s="64"/>
      <c r="F7" s="64"/>
      <c r="G7" s="64"/>
      <c r="H7" s="64" t="n">
        <v>4</v>
      </c>
      <c r="I7" s="65"/>
      <c r="J7" s="65"/>
      <c r="K7" s="65"/>
      <c r="L7" s="65" t="n">
        <v>4</v>
      </c>
      <c r="M7" s="65"/>
      <c r="N7" s="64"/>
      <c r="O7" s="79"/>
      <c r="P7" s="65" t="n">
        <v>4</v>
      </c>
      <c r="Q7" s="65"/>
      <c r="R7" s="65"/>
      <c r="S7" s="65"/>
      <c r="T7" s="66" t="n">
        <f aca="false">$D7*E7</f>
        <v>0</v>
      </c>
      <c r="U7" s="66" t="n">
        <f aca="false">$D7*F7</f>
        <v>0</v>
      </c>
      <c r="V7" s="66" t="n">
        <f aca="false">$D7*G7</f>
        <v>0</v>
      </c>
      <c r="W7" s="66" t="n">
        <f aca="false">$D7*H7</f>
        <v>703.6</v>
      </c>
      <c r="X7" s="66" t="n">
        <f aca="false">$D7*I7</f>
        <v>0</v>
      </c>
      <c r="Y7" s="66" t="n">
        <f aca="false">$D7*J7</f>
        <v>0</v>
      </c>
      <c r="Z7" s="66" t="n">
        <f aca="false">$D7*K7</f>
        <v>0</v>
      </c>
      <c r="AA7" s="66" t="n">
        <f aca="false">$D7*L7</f>
        <v>703.6</v>
      </c>
      <c r="AB7" s="66" t="n">
        <f aca="false">$D7*M7</f>
        <v>0</v>
      </c>
      <c r="AC7" s="66" t="n">
        <f aca="false">$D7*N7</f>
        <v>0</v>
      </c>
      <c r="AD7" s="66" t="n">
        <f aca="false">$D7*O7</f>
        <v>0</v>
      </c>
      <c r="AE7" s="66" t="n">
        <f aca="false">$D7*P7</f>
        <v>703.6</v>
      </c>
      <c r="AF7" s="66" t="n">
        <f aca="false">$D7*Q7</f>
        <v>0</v>
      </c>
      <c r="AG7" s="66" t="n">
        <f aca="false">$D7*R7</f>
        <v>0</v>
      </c>
      <c r="AH7" s="66" t="n">
        <f aca="false">$D7*S7</f>
        <v>0</v>
      </c>
      <c r="AI7" s="67" t="n">
        <f aca="false">AJ7/$AI$2</f>
        <v>0.142467602591793</v>
      </c>
      <c r="AJ7" s="66" t="n">
        <f aca="false">SUM(T7:AH7)</f>
        <v>2110.8</v>
      </c>
    </row>
    <row r="8" customFormat="false" ht="15.75" hidden="false" customHeight="true" outlineLevel="0" collapsed="false">
      <c r="A8" s="52" t="n">
        <v>5</v>
      </c>
      <c r="B8" s="53" t="s">
        <v>56</v>
      </c>
      <c r="C8" s="54" t="s">
        <v>57</v>
      </c>
      <c r="D8" s="55" t="n">
        <f aca="false">VLOOKUP(C8,'[1]PREÇO ATUAL'!$A$1:$D$1048576,4,0)</f>
        <v>143.23</v>
      </c>
      <c r="E8" s="56"/>
      <c r="F8" s="56"/>
      <c r="G8" s="56"/>
      <c r="H8" s="56"/>
      <c r="I8" s="57"/>
      <c r="J8" s="57" t="n">
        <v>1</v>
      </c>
      <c r="K8" s="57"/>
      <c r="L8" s="57"/>
      <c r="M8" s="57"/>
      <c r="N8" s="56"/>
      <c r="O8" s="80"/>
      <c r="P8" s="57" t="n">
        <v>1</v>
      </c>
      <c r="Q8" s="57"/>
      <c r="R8" s="57"/>
      <c r="S8" s="57"/>
      <c r="T8" s="58" t="n">
        <f aca="false">$D8*E8</f>
        <v>0</v>
      </c>
      <c r="U8" s="58" t="n">
        <f aca="false">$D8*F8</f>
        <v>0</v>
      </c>
      <c r="V8" s="58" t="n">
        <f aca="false">$D8*G8</f>
        <v>0</v>
      </c>
      <c r="W8" s="58" t="n">
        <f aca="false">$D8*H8</f>
        <v>0</v>
      </c>
      <c r="X8" s="58" t="n">
        <f aca="false">$D8*I8</f>
        <v>0</v>
      </c>
      <c r="Y8" s="58" t="n">
        <f aca="false">$D8*J8</f>
        <v>143.23</v>
      </c>
      <c r="Z8" s="58" t="n">
        <f aca="false">$D8*K8</f>
        <v>0</v>
      </c>
      <c r="AA8" s="58" t="n">
        <f aca="false">$D8*L8</f>
        <v>0</v>
      </c>
      <c r="AB8" s="58" t="n">
        <f aca="false">$D8*M8</f>
        <v>0</v>
      </c>
      <c r="AC8" s="58" t="n">
        <f aca="false">$D8*N8</f>
        <v>0</v>
      </c>
      <c r="AD8" s="58" t="n">
        <f aca="false">$D8*O8</f>
        <v>0</v>
      </c>
      <c r="AE8" s="58" t="n">
        <f aca="false">$D8*P8</f>
        <v>143.23</v>
      </c>
      <c r="AF8" s="58" t="n">
        <f aca="false">$D8*Q8</f>
        <v>0</v>
      </c>
      <c r="AG8" s="58" t="n">
        <f aca="false">$D8*R8</f>
        <v>0</v>
      </c>
      <c r="AH8" s="58" t="n">
        <f aca="false">$D8*S8</f>
        <v>0</v>
      </c>
      <c r="AI8" s="59" t="n">
        <f aca="false">AJ8/$AI$2</f>
        <v>0.0193345032397408</v>
      </c>
      <c r="AJ8" s="58" t="n">
        <f aca="false">SUM(T8:AH8)</f>
        <v>286.46</v>
      </c>
    </row>
    <row r="9" customFormat="false" ht="15.75" hidden="false" customHeight="true" outlineLevel="0" collapsed="false">
      <c r="A9" s="60" t="n">
        <v>6</v>
      </c>
      <c r="B9" s="61" t="s">
        <v>60</v>
      </c>
      <c r="C9" s="62" t="s">
        <v>61</v>
      </c>
      <c r="D9" s="63" t="n">
        <f aca="false">VLOOKUP(C9,'[1]PREÇO ATUAL'!$A$1:$D$1048576,4,0)</f>
        <v>33.6224930838505</v>
      </c>
      <c r="E9" s="64"/>
      <c r="F9" s="64"/>
      <c r="G9" s="64"/>
      <c r="H9" s="64"/>
      <c r="I9" s="65"/>
      <c r="J9" s="65"/>
      <c r="K9" s="65"/>
      <c r="L9" s="65"/>
      <c r="M9" s="65"/>
      <c r="N9" s="64"/>
      <c r="O9" s="79"/>
      <c r="P9" s="65"/>
      <c r="Q9" s="65"/>
      <c r="R9" s="65"/>
      <c r="S9" s="65"/>
      <c r="T9" s="66" t="n">
        <f aca="false">$D9*E9</f>
        <v>0</v>
      </c>
      <c r="U9" s="66" t="n">
        <f aca="false">$D9*F9</f>
        <v>0</v>
      </c>
      <c r="V9" s="66" t="n">
        <f aca="false">$D9*G9</f>
        <v>0</v>
      </c>
      <c r="W9" s="66" t="n">
        <f aca="false">$D9*H9</f>
        <v>0</v>
      </c>
      <c r="X9" s="66" t="n">
        <f aca="false">$D9*I9</f>
        <v>0</v>
      </c>
      <c r="Y9" s="66" t="n">
        <f aca="false">$D9*J9</f>
        <v>0</v>
      </c>
      <c r="Z9" s="66" t="n">
        <f aca="false">$D9*K9</f>
        <v>0</v>
      </c>
      <c r="AA9" s="66" t="n">
        <f aca="false">$D9*L9</f>
        <v>0</v>
      </c>
      <c r="AB9" s="66" t="n">
        <f aca="false">$D9*M9</f>
        <v>0</v>
      </c>
      <c r="AC9" s="66" t="n">
        <f aca="false">$D9*N9</f>
        <v>0</v>
      </c>
      <c r="AD9" s="66" t="n">
        <f aca="false">$D9*O9</f>
        <v>0</v>
      </c>
      <c r="AE9" s="66" t="n">
        <f aca="false">$D9*P9</f>
        <v>0</v>
      </c>
      <c r="AF9" s="66" t="n">
        <f aca="false">$D9*Q9</f>
        <v>0</v>
      </c>
      <c r="AG9" s="66" t="n">
        <f aca="false">$D9*R9</f>
        <v>0</v>
      </c>
      <c r="AH9" s="66" t="n">
        <f aca="false">$D9*S9</f>
        <v>0</v>
      </c>
      <c r="AI9" s="67" t="n">
        <f aca="false">AJ9/$AI$2</f>
        <v>0</v>
      </c>
      <c r="AJ9" s="66" t="n">
        <f aca="false">SUM(T9:AH9)</f>
        <v>0</v>
      </c>
    </row>
    <row r="10" customFormat="false" ht="15.75" hidden="false" customHeight="true" outlineLevel="0" collapsed="false">
      <c r="A10" s="52" t="n">
        <v>7</v>
      </c>
      <c r="B10" s="53" t="s">
        <v>62</v>
      </c>
      <c r="C10" s="54" t="s">
        <v>63</v>
      </c>
      <c r="D10" s="55" t="n">
        <f aca="false">VLOOKUP(C10,'[1]PREÇO ATUAL'!$A$1:$D$1048576,4,0)</f>
        <v>81.26</v>
      </c>
      <c r="E10" s="84" t="n">
        <v>3.36</v>
      </c>
      <c r="F10" s="84" t="n">
        <v>3.36</v>
      </c>
      <c r="G10" s="84" t="n">
        <v>3.36</v>
      </c>
      <c r="H10" s="84" t="n">
        <v>3.36</v>
      </c>
      <c r="I10" s="85" t="n">
        <v>3.36</v>
      </c>
      <c r="J10" s="85" t="n">
        <v>3.36</v>
      </c>
      <c r="K10" s="85" t="n">
        <v>3.36</v>
      </c>
      <c r="L10" s="85" t="n">
        <v>3.36</v>
      </c>
      <c r="M10" s="85" t="n">
        <v>3.36</v>
      </c>
      <c r="N10" s="84" t="n">
        <v>3.36</v>
      </c>
      <c r="O10" s="110" t="n">
        <v>3.36</v>
      </c>
      <c r="P10" s="85" t="n">
        <v>3.36</v>
      </c>
      <c r="Q10" s="85" t="n">
        <v>3.36</v>
      </c>
      <c r="R10" s="85" t="n">
        <v>3.36</v>
      </c>
      <c r="S10" s="85" t="n">
        <v>3.36</v>
      </c>
      <c r="T10" s="58" t="n">
        <f aca="false">$D10*E10</f>
        <v>273.0336</v>
      </c>
      <c r="U10" s="58" t="n">
        <f aca="false">$D10*F10</f>
        <v>273.0336</v>
      </c>
      <c r="V10" s="58" t="n">
        <f aca="false">$D10*G10</f>
        <v>273.0336</v>
      </c>
      <c r="W10" s="58" t="n">
        <f aca="false">$D10*H10</f>
        <v>273.0336</v>
      </c>
      <c r="X10" s="58" t="n">
        <f aca="false">$D10*I10</f>
        <v>273.0336</v>
      </c>
      <c r="Y10" s="58" t="n">
        <f aca="false">$D10*J10</f>
        <v>273.0336</v>
      </c>
      <c r="Z10" s="58" t="n">
        <f aca="false">$D10*K10</f>
        <v>273.0336</v>
      </c>
      <c r="AA10" s="58" t="n">
        <f aca="false">$D10*L10</f>
        <v>273.0336</v>
      </c>
      <c r="AB10" s="58" t="n">
        <f aca="false">$D10*M10</f>
        <v>273.0336</v>
      </c>
      <c r="AC10" s="58" t="n">
        <f aca="false">$D10*N10</f>
        <v>273.0336</v>
      </c>
      <c r="AD10" s="58" t="n">
        <f aca="false">$D10*O10</f>
        <v>273.0336</v>
      </c>
      <c r="AE10" s="58" t="n">
        <f aca="false">$D10*P10</f>
        <v>273.0336</v>
      </c>
      <c r="AF10" s="58" t="n">
        <f aca="false">$D10*Q10</f>
        <v>273.0336</v>
      </c>
      <c r="AG10" s="58" t="n">
        <f aca="false">$D10*R10</f>
        <v>273.0336</v>
      </c>
      <c r="AH10" s="58" t="n">
        <f aca="false">$D10*S10</f>
        <v>273.0336</v>
      </c>
      <c r="AI10" s="59" t="n">
        <f aca="false">AJ10/$AI$2</f>
        <v>0.276424406047516</v>
      </c>
      <c r="AJ10" s="58" t="n">
        <f aca="false">SUM(T10:AH10)</f>
        <v>4095.504</v>
      </c>
    </row>
    <row r="11" customFormat="false" ht="15.75" hidden="false" customHeight="true" outlineLevel="0" collapsed="false">
      <c r="A11" s="60" t="n">
        <v>8</v>
      </c>
      <c r="B11" s="61" t="s">
        <v>64</v>
      </c>
      <c r="C11" s="62" t="s">
        <v>65</v>
      </c>
      <c r="D11" s="63" t="n">
        <f aca="false">VLOOKUP(C11,'[1]PREÇO ATUAL'!$A$1:$D$1048576,4,0)</f>
        <v>342</v>
      </c>
      <c r="E11" s="82" t="n">
        <v>0.85</v>
      </c>
      <c r="F11" s="82" t="n">
        <v>1.2</v>
      </c>
      <c r="G11" s="82" t="n">
        <v>0.9</v>
      </c>
      <c r="H11" s="82" t="n">
        <v>2.15</v>
      </c>
      <c r="I11" s="83" t="n">
        <v>1</v>
      </c>
      <c r="J11" s="83" t="n">
        <v>1.45</v>
      </c>
      <c r="K11" s="83" t="n">
        <v>0.85</v>
      </c>
      <c r="L11" s="83" t="n">
        <v>2.15</v>
      </c>
      <c r="M11" s="83" t="n">
        <v>0.9</v>
      </c>
      <c r="N11" s="82" t="n">
        <v>1.35</v>
      </c>
      <c r="O11" s="111" t="n">
        <v>0.85</v>
      </c>
      <c r="P11" s="83" t="n">
        <v>1.5</v>
      </c>
      <c r="Q11" s="83" t="n">
        <v>0.85</v>
      </c>
      <c r="R11" s="83" t="n">
        <v>1.2</v>
      </c>
      <c r="S11" s="83" t="n">
        <v>1.05</v>
      </c>
      <c r="T11" s="66" t="n">
        <f aca="false">D11*E11</f>
        <v>290.7</v>
      </c>
      <c r="U11" s="66" t="n">
        <f aca="false">$D11*F11</f>
        <v>410.4</v>
      </c>
      <c r="V11" s="66" t="n">
        <f aca="false">$D11*G11</f>
        <v>307.8</v>
      </c>
      <c r="W11" s="66" t="n">
        <f aca="false">$D11*H11</f>
        <v>735.3</v>
      </c>
      <c r="X11" s="66" t="n">
        <f aca="false">$D11*I11</f>
        <v>342</v>
      </c>
      <c r="Y11" s="66" t="n">
        <f aca="false">$D11*J11</f>
        <v>495.9</v>
      </c>
      <c r="Z11" s="66" t="n">
        <f aca="false">$D11*K11</f>
        <v>290.7</v>
      </c>
      <c r="AA11" s="66" t="n">
        <f aca="false">$D11*L11</f>
        <v>735.3</v>
      </c>
      <c r="AB11" s="66" t="n">
        <f aca="false">$D11*M11</f>
        <v>307.8</v>
      </c>
      <c r="AC11" s="66" t="n">
        <f aca="false">$D11*N11</f>
        <v>461.7</v>
      </c>
      <c r="AD11" s="66" t="n">
        <f aca="false">$D11*O11</f>
        <v>290.7</v>
      </c>
      <c r="AE11" s="66" t="n">
        <f aca="false">$D11*P11</f>
        <v>513</v>
      </c>
      <c r="AF11" s="66" t="n">
        <f aca="false">$D11*Q11</f>
        <v>290.7</v>
      </c>
      <c r="AG11" s="66" t="n">
        <f aca="false">$D11*R11</f>
        <v>410.4</v>
      </c>
      <c r="AH11" s="66" t="n">
        <f aca="false">$D11*S11</f>
        <v>359.1</v>
      </c>
      <c r="AI11" s="67" t="n">
        <f aca="false">AJ11/$AI$2</f>
        <v>0.421267548596112</v>
      </c>
      <c r="AJ11" s="66" t="n">
        <f aca="false">SUM(T11:AH11)</f>
        <v>6241.5</v>
      </c>
    </row>
    <row r="12" customFormat="false" ht="15.75" hidden="false" customHeight="true" outlineLevel="0" collapsed="false"/>
    <row r="13" customFormat="false" ht="15" hidden="false" customHeight="false" outlineLevel="0" collapsed="false">
      <c r="A13" s="89" t="s">
        <v>139</v>
      </c>
      <c r="B13" s="89"/>
      <c r="C13" s="89"/>
      <c r="D13" s="89"/>
      <c r="E13" s="86" t="s">
        <v>29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77" t="s">
        <v>30</v>
      </c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37" t="s">
        <v>31</v>
      </c>
      <c r="AJ13" s="37"/>
    </row>
    <row r="14" customFormat="false" ht="15" hidden="false" customHeight="false" outlineLevel="0" collapsed="false">
      <c r="A14" s="89"/>
      <c r="B14" s="89"/>
      <c r="C14" s="89"/>
      <c r="D14" s="89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43" t="n">
        <f aca="false">MROUND(SUM(T16:T24),1)</f>
        <v>644</v>
      </c>
      <c r="U14" s="43" t="n">
        <f aca="false">MROUND(SUM(U16:U24),1)</f>
        <v>889</v>
      </c>
      <c r="V14" s="43" t="n">
        <f aca="false">MROUND(SUM(V16:V24),1)</f>
        <v>661</v>
      </c>
      <c r="W14" s="43" t="n">
        <f aca="false">MROUND(SUM(W16:W24),1)</f>
        <v>1918</v>
      </c>
      <c r="X14" s="43" t="n">
        <f aca="false">MROUND(SUM(X16:X24),1)</f>
        <v>695</v>
      </c>
      <c r="Y14" s="43" t="n">
        <f aca="false">MROUND(SUM(Y16:Y24),1)</f>
        <v>1118</v>
      </c>
      <c r="Z14" s="43" t="n">
        <f aca="false">MROUND(SUM(Z16:Z24),1)</f>
        <v>644</v>
      </c>
      <c r="AA14" s="43" t="n">
        <f aca="false">MROUND(SUM(AA16:AA24),1)</f>
        <v>1918</v>
      </c>
      <c r="AB14" s="43" t="n">
        <f aca="false">MROUND(SUM(AB16:AB24),1)</f>
        <v>661</v>
      </c>
      <c r="AC14" s="43" t="n">
        <f aca="false">MROUND(SUM(AC16:AC24),1)</f>
        <v>940</v>
      </c>
      <c r="AD14" s="43" t="n">
        <f aca="false">MROUND(SUM(AD16:AD24),1)</f>
        <v>644</v>
      </c>
      <c r="AE14" s="43" t="n">
        <f aca="false">MROUND(SUM(AE16:AE24),1)</f>
        <v>2171</v>
      </c>
      <c r="AF14" s="43" t="n">
        <f aca="false">MROUND(SUM(AF16:AF24),1)</f>
        <v>644</v>
      </c>
      <c r="AG14" s="43" t="n">
        <f aca="false">MROUND(SUM(AG16:AG24),1)</f>
        <v>889</v>
      </c>
      <c r="AH14" s="43" t="n">
        <f aca="false">MROUND(SUM(AH16:AH24),1)</f>
        <v>712</v>
      </c>
      <c r="AI14" s="44" t="n">
        <f aca="false">SUM(T14:AH14)</f>
        <v>15148</v>
      </c>
      <c r="AJ14" s="44"/>
    </row>
    <row r="15" customFormat="false" ht="15" hidden="false" customHeight="false" outlineLevel="0" collapsed="false">
      <c r="A15" s="45" t="s">
        <v>32</v>
      </c>
      <c r="B15" s="45" t="s">
        <v>33</v>
      </c>
      <c r="C15" s="46" t="s">
        <v>34</v>
      </c>
      <c r="D15" s="47" t="s">
        <v>35</v>
      </c>
      <c r="E15" s="48" t="s">
        <v>36</v>
      </c>
      <c r="F15" s="48" t="s">
        <v>37</v>
      </c>
      <c r="G15" s="48" t="s">
        <v>38</v>
      </c>
      <c r="H15" s="48" t="s">
        <v>39</v>
      </c>
      <c r="I15" s="48" t="s">
        <v>40</v>
      </c>
      <c r="J15" s="48" t="s">
        <v>41</v>
      </c>
      <c r="K15" s="48" t="s">
        <v>42</v>
      </c>
      <c r="L15" s="48" t="s">
        <v>43</v>
      </c>
      <c r="M15" s="48" t="s">
        <v>44</v>
      </c>
      <c r="N15" s="48" t="s">
        <v>45</v>
      </c>
      <c r="O15" s="48" t="n">
        <v>11</v>
      </c>
      <c r="P15" s="48" t="n">
        <v>12</v>
      </c>
      <c r="Q15" s="48" t="n">
        <v>13</v>
      </c>
      <c r="R15" s="48" t="n">
        <v>14</v>
      </c>
      <c r="S15" s="48" t="n">
        <v>15</v>
      </c>
      <c r="T15" s="48" t="n">
        <v>10000</v>
      </c>
      <c r="U15" s="48" t="n">
        <v>20000</v>
      </c>
      <c r="V15" s="48" t="n">
        <v>30000</v>
      </c>
      <c r="W15" s="48" t="n">
        <v>40000</v>
      </c>
      <c r="X15" s="48" t="n">
        <v>50000</v>
      </c>
      <c r="Y15" s="48" t="n">
        <v>60000</v>
      </c>
      <c r="Z15" s="48" t="n">
        <v>70000</v>
      </c>
      <c r="AA15" s="48" t="n">
        <v>80000</v>
      </c>
      <c r="AB15" s="48" t="n">
        <v>90000</v>
      </c>
      <c r="AC15" s="48" t="n">
        <v>100000</v>
      </c>
      <c r="AD15" s="50" t="n">
        <f aca="false">AC15+10000</f>
        <v>110000</v>
      </c>
      <c r="AE15" s="50" t="n">
        <f aca="false">AD15+10000</f>
        <v>120000</v>
      </c>
      <c r="AF15" s="50" t="n">
        <f aca="false">AE15+10000</f>
        <v>130000</v>
      </c>
      <c r="AG15" s="50" t="n">
        <f aca="false">AF15+10000</f>
        <v>140000</v>
      </c>
      <c r="AH15" s="50" t="n">
        <f aca="false">AG15+10000</f>
        <v>150000</v>
      </c>
      <c r="AI15" s="51" t="s">
        <v>46</v>
      </c>
      <c r="AJ15" s="45" t="s">
        <v>47</v>
      </c>
    </row>
    <row r="16" customFormat="false" ht="15" hidden="false" customHeight="false" outlineLevel="0" collapsed="false">
      <c r="A16" s="52" t="n">
        <v>1</v>
      </c>
      <c r="B16" s="53" t="s">
        <v>48</v>
      </c>
      <c r="C16" s="54" t="s">
        <v>49</v>
      </c>
      <c r="D16" s="55" t="n">
        <f aca="false">VLOOKUP(C16,'[1]PREÇO ATUAL'!$A$1:$D$1048576,4,0)</f>
        <v>79.9</v>
      </c>
      <c r="E16" s="56" t="n">
        <v>1</v>
      </c>
      <c r="F16" s="56" t="n">
        <v>1</v>
      </c>
      <c r="G16" s="56" t="n">
        <v>1</v>
      </c>
      <c r="H16" s="56" t="n">
        <v>1</v>
      </c>
      <c r="I16" s="57" t="n">
        <v>1</v>
      </c>
      <c r="J16" s="57" t="n">
        <v>1</v>
      </c>
      <c r="K16" s="57" t="n">
        <v>1</v>
      </c>
      <c r="L16" s="57" t="n">
        <v>1</v>
      </c>
      <c r="M16" s="57" t="n">
        <v>1</v>
      </c>
      <c r="N16" s="56" t="n">
        <v>1</v>
      </c>
      <c r="O16" s="80" t="n">
        <v>1</v>
      </c>
      <c r="P16" s="80" t="n">
        <v>1</v>
      </c>
      <c r="Q16" s="80" t="n">
        <v>1</v>
      </c>
      <c r="R16" s="80" t="n">
        <v>1</v>
      </c>
      <c r="S16" s="80" t="n">
        <v>1</v>
      </c>
      <c r="T16" s="58" t="n">
        <f aca="false">$D16*E16</f>
        <v>79.9</v>
      </c>
      <c r="U16" s="58" t="n">
        <f aca="false">$D16*F16</f>
        <v>79.9</v>
      </c>
      <c r="V16" s="58" t="n">
        <f aca="false">$D16*G16</f>
        <v>79.9</v>
      </c>
      <c r="W16" s="58" t="n">
        <f aca="false">$D16*H16</f>
        <v>79.9</v>
      </c>
      <c r="X16" s="58" t="n">
        <f aca="false">$D16*I16</f>
        <v>79.9</v>
      </c>
      <c r="Y16" s="58" t="n">
        <f aca="false">$D16*J16</f>
        <v>79.9</v>
      </c>
      <c r="Z16" s="58" t="n">
        <f aca="false">$D16*K16</f>
        <v>79.9</v>
      </c>
      <c r="AA16" s="58" t="n">
        <f aca="false">$D16*L16</f>
        <v>79.9</v>
      </c>
      <c r="AB16" s="58" t="n">
        <f aca="false">$D16*M16</f>
        <v>79.9</v>
      </c>
      <c r="AC16" s="58" t="n">
        <f aca="false">$D16*N16</f>
        <v>79.9</v>
      </c>
      <c r="AD16" s="58" t="n">
        <f aca="false">$D16*O16</f>
        <v>79.9</v>
      </c>
      <c r="AE16" s="58" t="n">
        <f aca="false">$D16*P16</f>
        <v>79.9</v>
      </c>
      <c r="AF16" s="58" t="n">
        <f aca="false">$D16*Q16</f>
        <v>79.9</v>
      </c>
      <c r="AG16" s="58" t="n">
        <f aca="false">$D16*R16</f>
        <v>79.9</v>
      </c>
      <c r="AH16" s="58" t="n">
        <f aca="false">$D16*S16</f>
        <v>79.9</v>
      </c>
      <c r="AI16" s="59" t="n">
        <f aca="false">AJ16/$AI$2</f>
        <v>0.0808922786177106</v>
      </c>
      <c r="AJ16" s="58" t="n">
        <f aca="false">SUM(T16:AH16)</f>
        <v>1198.5</v>
      </c>
    </row>
    <row r="17" customFormat="false" ht="15" hidden="false" customHeight="false" outlineLevel="0" collapsed="false">
      <c r="A17" s="60" t="n">
        <v>2</v>
      </c>
      <c r="B17" s="61" t="s">
        <v>50</v>
      </c>
      <c r="C17" s="62" t="s">
        <v>51</v>
      </c>
      <c r="D17" s="63" t="n">
        <f aca="false">VLOOKUP(C17,'[1]PREÇO ATUAL'!$A$1:$D$1048576,4,0)</f>
        <v>35.9</v>
      </c>
      <c r="E17" s="64"/>
      <c r="F17" s="64" t="n">
        <v>1</v>
      </c>
      <c r="G17" s="64"/>
      <c r="H17" s="64" t="n">
        <v>1</v>
      </c>
      <c r="I17" s="65"/>
      <c r="J17" s="65" t="n">
        <v>1</v>
      </c>
      <c r="K17" s="65"/>
      <c r="L17" s="65" t="n">
        <v>1</v>
      </c>
      <c r="M17" s="65"/>
      <c r="N17" s="64" t="n">
        <v>1</v>
      </c>
      <c r="O17" s="79"/>
      <c r="P17" s="65" t="n">
        <v>1</v>
      </c>
      <c r="Q17" s="65"/>
      <c r="R17" s="65" t="n">
        <v>1</v>
      </c>
      <c r="S17" s="65"/>
      <c r="T17" s="66" t="n">
        <f aca="false">$D17*E17</f>
        <v>0</v>
      </c>
      <c r="U17" s="66" t="n">
        <f aca="false">$D17*F17</f>
        <v>35.9</v>
      </c>
      <c r="V17" s="66" t="n">
        <f aca="false">$D17*G17</f>
        <v>0</v>
      </c>
      <c r="W17" s="66" t="n">
        <f aca="false">$D17*H17</f>
        <v>35.9</v>
      </c>
      <c r="X17" s="66" t="n">
        <f aca="false">$D17*I17</f>
        <v>0</v>
      </c>
      <c r="Y17" s="66" t="n">
        <f aca="false">$D17*J17</f>
        <v>35.9</v>
      </c>
      <c r="Z17" s="66" t="n">
        <f aca="false">$D17*K17</f>
        <v>0</v>
      </c>
      <c r="AA17" s="66" t="n">
        <f aca="false">$D17*L17</f>
        <v>35.9</v>
      </c>
      <c r="AB17" s="66" t="n">
        <f aca="false">$D17*M17</f>
        <v>0</v>
      </c>
      <c r="AC17" s="66" t="n">
        <f aca="false">$D17*N17</f>
        <v>35.9</v>
      </c>
      <c r="AD17" s="66" t="n">
        <f aca="false">$D17*O17</f>
        <v>0</v>
      </c>
      <c r="AE17" s="66" t="n">
        <f aca="false">$D17*P17</f>
        <v>35.9</v>
      </c>
      <c r="AF17" s="66" t="n">
        <f aca="false">$D17*Q17</f>
        <v>0</v>
      </c>
      <c r="AG17" s="66" t="n">
        <f aca="false">$D17*R17</f>
        <v>35.9</v>
      </c>
      <c r="AH17" s="66" t="n">
        <f aca="false">$D17*S17</f>
        <v>0</v>
      </c>
      <c r="AI17" s="67" t="n">
        <f aca="false">AJ17/$AI$2</f>
        <v>0.0169613930885529</v>
      </c>
      <c r="AJ17" s="66" t="n">
        <f aca="false">SUM(T17:AH17)</f>
        <v>251.3</v>
      </c>
    </row>
    <row r="18" customFormat="false" ht="15" hidden="false" customHeight="false" outlineLevel="0" collapsed="false">
      <c r="A18" s="52" t="n">
        <v>3</v>
      </c>
      <c r="B18" s="53" t="s">
        <v>52</v>
      </c>
      <c r="C18" s="54" t="s">
        <v>53</v>
      </c>
      <c r="D18" s="55" t="n">
        <f aca="false">VLOOKUP(C18,'[1]PREÇO ATUAL'!$A$1:$D$1048576,4,0)</f>
        <v>89.9</v>
      </c>
      <c r="E18" s="56"/>
      <c r="F18" s="56" t="n">
        <v>1</v>
      </c>
      <c r="G18" s="56"/>
      <c r="H18" s="56" t="n">
        <v>1</v>
      </c>
      <c r="I18" s="57"/>
      <c r="J18" s="57" t="n">
        <v>1</v>
      </c>
      <c r="K18" s="57"/>
      <c r="L18" s="57" t="n">
        <v>1</v>
      </c>
      <c r="M18" s="57"/>
      <c r="N18" s="56" t="n">
        <v>1</v>
      </c>
      <c r="O18" s="80"/>
      <c r="P18" s="57" t="n">
        <v>1</v>
      </c>
      <c r="Q18" s="57"/>
      <c r="R18" s="57" t="n">
        <v>1</v>
      </c>
      <c r="S18" s="57"/>
      <c r="T18" s="58" t="n">
        <f aca="false">$D18*E18</f>
        <v>0</v>
      </c>
      <c r="U18" s="58" t="n">
        <f aca="false">$D18*F18</f>
        <v>89.9</v>
      </c>
      <c r="V18" s="58" t="n">
        <f aca="false">$D18*G18</f>
        <v>0</v>
      </c>
      <c r="W18" s="58" t="n">
        <f aca="false">$D18*H18</f>
        <v>89.9</v>
      </c>
      <c r="X18" s="58" t="n">
        <f aca="false">$D18*I18</f>
        <v>0</v>
      </c>
      <c r="Y18" s="58" t="n">
        <f aca="false">$D18*J18</f>
        <v>89.9</v>
      </c>
      <c r="Z18" s="58" t="n">
        <f aca="false">$D18*K18</f>
        <v>0</v>
      </c>
      <c r="AA18" s="58" t="n">
        <f aca="false">$D18*L18</f>
        <v>89.9</v>
      </c>
      <c r="AB18" s="58" t="n">
        <f aca="false">$D18*M18</f>
        <v>0</v>
      </c>
      <c r="AC18" s="58" t="n">
        <f aca="false">$D18*N18</f>
        <v>89.9</v>
      </c>
      <c r="AD18" s="58" t="n">
        <f aca="false">$D18*O18</f>
        <v>0</v>
      </c>
      <c r="AE18" s="58" t="n">
        <f aca="false">$D18*P18</f>
        <v>89.9</v>
      </c>
      <c r="AF18" s="58" t="n">
        <f aca="false">$D18*Q18</f>
        <v>0</v>
      </c>
      <c r="AG18" s="58" t="n">
        <f aca="false">$D18*R18</f>
        <v>89.9</v>
      </c>
      <c r="AH18" s="58" t="n">
        <f aca="false">$D18*S18</f>
        <v>0</v>
      </c>
      <c r="AI18" s="59" t="n">
        <f aca="false">AJ18/$AI$2</f>
        <v>0.0424743520518359</v>
      </c>
      <c r="AJ18" s="58" t="n">
        <f aca="false">SUM(T18:AH18)</f>
        <v>629.3</v>
      </c>
    </row>
    <row r="19" customFormat="false" ht="15.75" hidden="false" customHeight="true" outlineLevel="0" collapsed="false">
      <c r="A19" s="60" t="n">
        <v>4</v>
      </c>
      <c r="B19" s="61" t="s">
        <v>54</v>
      </c>
      <c r="C19" s="62" t="s">
        <v>55</v>
      </c>
      <c r="D19" s="63" t="n">
        <f aca="false">VLOOKUP(C19,'[1]PREÇO ATUAL'!$A$1:$D$1048576,4,0)</f>
        <v>175.9</v>
      </c>
      <c r="E19" s="64"/>
      <c r="F19" s="64"/>
      <c r="G19" s="64"/>
      <c r="H19" s="64" t="n">
        <v>4</v>
      </c>
      <c r="I19" s="65"/>
      <c r="J19" s="65"/>
      <c r="K19" s="65"/>
      <c r="L19" s="65" t="n">
        <v>4</v>
      </c>
      <c r="M19" s="65"/>
      <c r="N19" s="64"/>
      <c r="O19" s="79"/>
      <c r="P19" s="65" t="n">
        <v>4</v>
      </c>
      <c r="Q19" s="65"/>
      <c r="R19" s="65"/>
      <c r="S19" s="65"/>
      <c r="T19" s="66" t="n">
        <f aca="false">$D19*E19</f>
        <v>0</v>
      </c>
      <c r="U19" s="66" t="n">
        <f aca="false">$D19*F19</f>
        <v>0</v>
      </c>
      <c r="V19" s="66" t="n">
        <f aca="false">$D19*G19</f>
        <v>0</v>
      </c>
      <c r="W19" s="66" t="n">
        <f aca="false">$D19*H19</f>
        <v>703.6</v>
      </c>
      <c r="X19" s="66" t="n">
        <f aca="false">$D19*I19</f>
        <v>0</v>
      </c>
      <c r="Y19" s="66" t="n">
        <f aca="false">$D19*J19</f>
        <v>0</v>
      </c>
      <c r="Z19" s="66" t="n">
        <f aca="false">$D19*K19</f>
        <v>0</v>
      </c>
      <c r="AA19" s="66" t="n">
        <f aca="false">$D19*L19</f>
        <v>703.6</v>
      </c>
      <c r="AB19" s="66" t="n">
        <f aca="false">$D19*M19</f>
        <v>0</v>
      </c>
      <c r="AC19" s="66" t="n">
        <f aca="false">$D19*N19</f>
        <v>0</v>
      </c>
      <c r="AD19" s="66" t="n">
        <f aca="false">$D19*O19</f>
        <v>0</v>
      </c>
      <c r="AE19" s="66" t="n">
        <f aca="false">$D19*P19</f>
        <v>703.6</v>
      </c>
      <c r="AF19" s="66" t="n">
        <f aca="false">$D19*Q19</f>
        <v>0</v>
      </c>
      <c r="AG19" s="66" t="n">
        <f aca="false">$D19*R19</f>
        <v>0</v>
      </c>
      <c r="AH19" s="66" t="n">
        <f aca="false">$D19*S19</f>
        <v>0</v>
      </c>
      <c r="AI19" s="67" t="n">
        <f aca="false">AJ19/$AI$2</f>
        <v>0.142467602591793</v>
      </c>
      <c r="AJ19" s="66" t="n">
        <f aca="false">SUM(T19:AH19)</f>
        <v>2110.8</v>
      </c>
    </row>
    <row r="20" customFormat="false" ht="15.75" hidden="false" customHeight="true" outlineLevel="0" collapsed="false">
      <c r="A20" s="52" t="n">
        <v>5</v>
      </c>
      <c r="B20" s="53" t="s">
        <v>56</v>
      </c>
      <c r="C20" s="54" t="s">
        <v>57</v>
      </c>
      <c r="D20" s="55" t="n">
        <f aca="false">VLOOKUP(C20,'[1]PREÇO ATUAL'!$A$1:$D$1048576,4,0)</f>
        <v>143.23</v>
      </c>
      <c r="E20" s="56"/>
      <c r="F20" s="56"/>
      <c r="G20" s="56"/>
      <c r="H20" s="56"/>
      <c r="I20" s="57"/>
      <c r="J20" s="57" t="n">
        <v>1</v>
      </c>
      <c r="K20" s="57"/>
      <c r="L20" s="57"/>
      <c r="M20" s="57"/>
      <c r="N20" s="56"/>
      <c r="O20" s="80"/>
      <c r="P20" s="57" t="n">
        <v>1</v>
      </c>
      <c r="Q20" s="57"/>
      <c r="R20" s="57"/>
      <c r="S20" s="57"/>
      <c r="T20" s="58" t="n">
        <f aca="false">$D20*E20</f>
        <v>0</v>
      </c>
      <c r="U20" s="58" t="n">
        <f aca="false">$D20*F20</f>
        <v>0</v>
      </c>
      <c r="V20" s="58" t="n">
        <f aca="false">$D20*G20</f>
        <v>0</v>
      </c>
      <c r="W20" s="58" t="n">
        <f aca="false">$D20*H20</f>
        <v>0</v>
      </c>
      <c r="X20" s="58" t="n">
        <f aca="false">$D20*I20</f>
        <v>0</v>
      </c>
      <c r="Y20" s="58" t="n">
        <f aca="false">$D20*J20</f>
        <v>143.23</v>
      </c>
      <c r="Z20" s="58" t="n">
        <f aca="false">$D20*K20</f>
        <v>0</v>
      </c>
      <c r="AA20" s="58" t="n">
        <f aca="false">$D20*L20</f>
        <v>0</v>
      </c>
      <c r="AB20" s="58" t="n">
        <f aca="false">$D20*M20</f>
        <v>0</v>
      </c>
      <c r="AC20" s="58" t="n">
        <f aca="false">$D20*N20</f>
        <v>0</v>
      </c>
      <c r="AD20" s="58" t="n">
        <f aca="false">$D20*O20</f>
        <v>0</v>
      </c>
      <c r="AE20" s="58" t="n">
        <f aca="false">$D20*P20</f>
        <v>143.23</v>
      </c>
      <c r="AF20" s="58" t="n">
        <f aca="false">$D20*Q20</f>
        <v>0</v>
      </c>
      <c r="AG20" s="58" t="n">
        <f aca="false">$D20*R20</f>
        <v>0</v>
      </c>
      <c r="AH20" s="58" t="n">
        <f aca="false">$D20*S20</f>
        <v>0</v>
      </c>
      <c r="AI20" s="59" t="n">
        <f aca="false">AJ20/$AI$2</f>
        <v>0.0193345032397408</v>
      </c>
      <c r="AJ20" s="58" t="n">
        <f aca="false">SUM(T20:AH20)</f>
        <v>286.46</v>
      </c>
    </row>
    <row r="21" customFormat="false" ht="38.25" hidden="false" customHeight="false" outlineLevel="0" collapsed="false">
      <c r="A21" s="60" t="n">
        <v>6</v>
      </c>
      <c r="B21" s="73" t="s">
        <v>132</v>
      </c>
      <c r="C21" s="62" t="s">
        <v>59</v>
      </c>
      <c r="D21" s="63" t="n">
        <f aca="false">VLOOKUP(C21,'[1]PREÇO ATUAL'!$A$1:$D$1048576,4,0)</f>
        <v>165.97812</v>
      </c>
      <c r="E21" s="117"/>
      <c r="F21" s="117"/>
      <c r="G21" s="117"/>
      <c r="H21" s="117"/>
      <c r="I21" s="68"/>
      <c r="J21" s="68"/>
      <c r="K21" s="68"/>
      <c r="L21" s="68"/>
      <c r="M21" s="68"/>
      <c r="N21" s="117"/>
      <c r="O21" s="118"/>
      <c r="P21" s="68" t="n">
        <v>2</v>
      </c>
      <c r="Q21" s="68"/>
      <c r="R21" s="68"/>
      <c r="S21" s="68"/>
      <c r="T21" s="66" t="n">
        <f aca="false">$D21*E21</f>
        <v>0</v>
      </c>
      <c r="U21" s="66" t="n">
        <f aca="false">$D21*F21</f>
        <v>0</v>
      </c>
      <c r="V21" s="66" t="n">
        <f aca="false">$D21*G21</f>
        <v>0</v>
      </c>
      <c r="W21" s="66" t="n">
        <f aca="false">$D21*H21</f>
        <v>0</v>
      </c>
      <c r="X21" s="66" t="n">
        <f aca="false">$D21*I21</f>
        <v>0</v>
      </c>
      <c r="Y21" s="66" t="n">
        <f aca="false">$D21*J21</f>
        <v>0</v>
      </c>
      <c r="Z21" s="66" t="n">
        <f aca="false">$D21*K21</f>
        <v>0</v>
      </c>
      <c r="AA21" s="66" t="n">
        <f aca="false">$D21*L21</f>
        <v>0</v>
      </c>
      <c r="AB21" s="66" t="n">
        <f aca="false">$D21*M21</f>
        <v>0</v>
      </c>
      <c r="AC21" s="66" t="n">
        <f aca="false">$D21*N21</f>
        <v>0</v>
      </c>
      <c r="AD21" s="66" t="n">
        <f aca="false">$D21*O21</f>
        <v>0</v>
      </c>
      <c r="AE21" s="66" t="n">
        <f aca="false">$D21*P21</f>
        <v>331.95624</v>
      </c>
      <c r="AF21" s="66" t="n">
        <f aca="false">$D21*Q21</f>
        <v>0</v>
      </c>
      <c r="AG21" s="66" t="n">
        <f aca="false">$D21*R21</f>
        <v>0</v>
      </c>
      <c r="AH21" s="66" t="n">
        <f aca="false">$D21*S21</f>
        <v>0</v>
      </c>
      <c r="AI21" s="67" t="n">
        <f aca="false">AJ21/$AI$2</f>
        <v>0.0224052537796976</v>
      </c>
      <c r="AJ21" s="66" t="n">
        <f aca="false">SUM(T21:AH21)</f>
        <v>331.95624</v>
      </c>
    </row>
    <row r="22" customFormat="false" ht="15.75" hidden="false" customHeight="true" outlineLevel="0" collapsed="false">
      <c r="A22" s="52" t="n">
        <v>6</v>
      </c>
      <c r="B22" s="53" t="s">
        <v>60</v>
      </c>
      <c r="C22" s="54" t="s">
        <v>61</v>
      </c>
      <c r="D22" s="55" t="n">
        <f aca="false">VLOOKUP(C22,'[1]PREÇO ATUAL'!$A$1:$D$1048576,4,0)</f>
        <v>33.6224930838505</v>
      </c>
      <c r="E22" s="56"/>
      <c r="F22" s="56"/>
      <c r="G22" s="56"/>
      <c r="H22" s="56"/>
      <c r="I22" s="57"/>
      <c r="J22" s="57"/>
      <c r="K22" s="57"/>
      <c r="L22" s="57"/>
      <c r="M22" s="57"/>
      <c r="N22" s="56"/>
      <c r="O22" s="80"/>
      <c r="P22" s="57"/>
      <c r="Q22" s="57"/>
      <c r="R22" s="57"/>
      <c r="S22" s="57"/>
      <c r="T22" s="58" t="n">
        <f aca="false">$D22*E22</f>
        <v>0</v>
      </c>
      <c r="U22" s="58" t="n">
        <f aca="false">$D22*F22</f>
        <v>0</v>
      </c>
      <c r="V22" s="58" t="n">
        <f aca="false">$D22*G22</f>
        <v>0</v>
      </c>
      <c r="W22" s="58" t="n">
        <f aca="false">$D22*H22</f>
        <v>0</v>
      </c>
      <c r="X22" s="58" t="n">
        <f aca="false">$D22*I22</f>
        <v>0</v>
      </c>
      <c r="Y22" s="58" t="n">
        <f aca="false">$D22*J22</f>
        <v>0</v>
      </c>
      <c r="Z22" s="58" t="n">
        <f aca="false">$D22*K22</f>
        <v>0</v>
      </c>
      <c r="AA22" s="58" t="n">
        <f aca="false">$D22*L22</f>
        <v>0</v>
      </c>
      <c r="AB22" s="58" t="n">
        <f aca="false">$D22*M22</f>
        <v>0</v>
      </c>
      <c r="AC22" s="58" t="n">
        <f aca="false">$D22*N22</f>
        <v>0</v>
      </c>
      <c r="AD22" s="58" t="n">
        <f aca="false">$D22*O22</f>
        <v>0</v>
      </c>
      <c r="AE22" s="58" t="n">
        <f aca="false">$D22*P22</f>
        <v>0</v>
      </c>
      <c r="AF22" s="58" t="n">
        <f aca="false">$D22*Q22</f>
        <v>0</v>
      </c>
      <c r="AG22" s="58" t="n">
        <f aca="false">$D22*R22</f>
        <v>0</v>
      </c>
      <c r="AH22" s="58" t="n">
        <f aca="false">$D22*S22</f>
        <v>0</v>
      </c>
      <c r="AI22" s="59" t="n">
        <f aca="false">AJ22/$AI$2</f>
        <v>0</v>
      </c>
      <c r="AJ22" s="58" t="n">
        <f aca="false">SUM(T22:AH22)</f>
        <v>0</v>
      </c>
    </row>
    <row r="23" customFormat="false" ht="15.75" hidden="false" customHeight="true" outlineLevel="0" collapsed="false">
      <c r="A23" s="60" t="n">
        <v>7</v>
      </c>
      <c r="B23" s="61" t="s">
        <v>62</v>
      </c>
      <c r="C23" s="62" t="s">
        <v>63</v>
      </c>
      <c r="D23" s="63" t="n">
        <f aca="false">VLOOKUP(C23,'[1]PREÇO ATUAL'!$A$1:$D$1048576,4,0)</f>
        <v>81.26</v>
      </c>
      <c r="E23" s="82" t="n">
        <v>3.36</v>
      </c>
      <c r="F23" s="82" t="n">
        <v>3.36</v>
      </c>
      <c r="G23" s="82" t="n">
        <v>3.36</v>
      </c>
      <c r="H23" s="82" t="n">
        <v>3.36</v>
      </c>
      <c r="I23" s="83" t="n">
        <v>3.36</v>
      </c>
      <c r="J23" s="83" t="n">
        <v>3.36</v>
      </c>
      <c r="K23" s="83" t="n">
        <v>3.36</v>
      </c>
      <c r="L23" s="83" t="n">
        <v>3.36</v>
      </c>
      <c r="M23" s="83" t="n">
        <v>3.36</v>
      </c>
      <c r="N23" s="82" t="n">
        <v>3.36</v>
      </c>
      <c r="O23" s="111" t="n">
        <v>3.36</v>
      </c>
      <c r="P23" s="83" t="n">
        <v>3.36</v>
      </c>
      <c r="Q23" s="83" t="n">
        <v>3.36</v>
      </c>
      <c r="R23" s="83" t="n">
        <v>3.36</v>
      </c>
      <c r="S23" s="83" t="n">
        <v>3.36</v>
      </c>
      <c r="T23" s="66" t="n">
        <f aca="false">$D23*E23</f>
        <v>273.0336</v>
      </c>
      <c r="U23" s="66" t="n">
        <f aca="false">$D23*F23</f>
        <v>273.0336</v>
      </c>
      <c r="V23" s="66" t="n">
        <f aca="false">$D23*G23</f>
        <v>273.0336</v>
      </c>
      <c r="W23" s="66" t="n">
        <f aca="false">$D23*H23</f>
        <v>273.0336</v>
      </c>
      <c r="X23" s="66" t="n">
        <f aca="false">$D23*I23</f>
        <v>273.0336</v>
      </c>
      <c r="Y23" s="66" t="n">
        <f aca="false">$D23*J23</f>
        <v>273.0336</v>
      </c>
      <c r="Z23" s="66" t="n">
        <f aca="false">$D23*K23</f>
        <v>273.0336</v>
      </c>
      <c r="AA23" s="66" t="n">
        <f aca="false">$D23*L23</f>
        <v>273.0336</v>
      </c>
      <c r="AB23" s="66" t="n">
        <f aca="false">$D23*M23</f>
        <v>273.0336</v>
      </c>
      <c r="AC23" s="66" t="n">
        <f aca="false">$D23*N23</f>
        <v>273.0336</v>
      </c>
      <c r="AD23" s="66" t="n">
        <f aca="false">$D23*O23</f>
        <v>273.0336</v>
      </c>
      <c r="AE23" s="66" t="n">
        <f aca="false">$D23*P23</f>
        <v>273.0336</v>
      </c>
      <c r="AF23" s="66" t="n">
        <f aca="false">$D23*Q23</f>
        <v>273.0336</v>
      </c>
      <c r="AG23" s="66" t="n">
        <f aca="false">$D23*R23</f>
        <v>273.0336</v>
      </c>
      <c r="AH23" s="66" t="n">
        <f aca="false">$D23*S23</f>
        <v>273.0336</v>
      </c>
      <c r="AI23" s="67" t="n">
        <f aca="false">AJ23/$AI$2</f>
        <v>0.276424406047516</v>
      </c>
      <c r="AJ23" s="66" t="n">
        <f aca="false">SUM(T23:AH23)</f>
        <v>4095.504</v>
      </c>
    </row>
    <row r="24" customFormat="false" ht="15.75" hidden="false" customHeight="true" outlineLevel="0" collapsed="false">
      <c r="A24" s="52" t="n">
        <v>8</v>
      </c>
      <c r="B24" s="53" t="s">
        <v>64</v>
      </c>
      <c r="C24" s="54" t="s">
        <v>65</v>
      </c>
      <c r="D24" s="55" t="n">
        <f aca="false">VLOOKUP(C24,'[1]PREÇO ATUAL'!$A$1:$D$1048576,4,0)</f>
        <v>342</v>
      </c>
      <c r="E24" s="84" t="n">
        <v>0.85</v>
      </c>
      <c r="F24" s="84" t="n">
        <v>1.2</v>
      </c>
      <c r="G24" s="84" t="n">
        <v>0.9</v>
      </c>
      <c r="H24" s="84" t="n">
        <v>2.15</v>
      </c>
      <c r="I24" s="85" t="n">
        <v>1</v>
      </c>
      <c r="J24" s="85" t="n">
        <v>1.45</v>
      </c>
      <c r="K24" s="85" t="n">
        <v>0.85</v>
      </c>
      <c r="L24" s="85" t="n">
        <v>2.15</v>
      </c>
      <c r="M24" s="85" t="n">
        <v>0.9</v>
      </c>
      <c r="N24" s="84" t="n">
        <v>1.35</v>
      </c>
      <c r="O24" s="110" t="n">
        <v>0.85</v>
      </c>
      <c r="P24" s="85" t="n">
        <v>1.5</v>
      </c>
      <c r="Q24" s="85" t="n">
        <v>0.85</v>
      </c>
      <c r="R24" s="85" t="n">
        <v>1.2</v>
      </c>
      <c r="S24" s="85" t="n">
        <v>1.05</v>
      </c>
      <c r="T24" s="58" t="n">
        <f aca="false">D24*E24</f>
        <v>290.7</v>
      </c>
      <c r="U24" s="58" t="n">
        <f aca="false">$D24*F24</f>
        <v>410.4</v>
      </c>
      <c r="V24" s="58" t="n">
        <f aca="false">$D24*G24</f>
        <v>307.8</v>
      </c>
      <c r="W24" s="58" t="n">
        <f aca="false">$D24*H24</f>
        <v>735.3</v>
      </c>
      <c r="X24" s="58" t="n">
        <f aca="false">$D24*I24</f>
        <v>342</v>
      </c>
      <c r="Y24" s="58" t="n">
        <f aca="false">$D24*J24</f>
        <v>495.9</v>
      </c>
      <c r="Z24" s="58" t="n">
        <f aca="false">$D24*K24</f>
        <v>290.7</v>
      </c>
      <c r="AA24" s="58" t="n">
        <f aca="false">$D24*L24</f>
        <v>735.3</v>
      </c>
      <c r="AB24" s="58" t="n">
        <f aca="false">$D24*M24</f>
        <v>307.8</v>
      </c>
      <c r="AC24" s="58" t="n">
        <f aca="false">$D24*N24</f>
        <v>461.7</v>
      </c>
      <c r="AD24" s="58" t="n">
        <f aca="false">$D24*O24</f>
        <v>290.7</v>
      </c>
      <c r="AE24" s="58" t="n">
        <f aca="false">$D24*P24</f>
        <v>513</v>
      </c>
      <c r="AF24" s="58" t="n">
        <f aca="false">$D24*Q24</f>
        <v>290.7</v>
      </c>
      <c r="AG24" s="58" t="n">
        <f aca="false">$D24*R24</f>
        <v>410.4</v>
      </c>
      <c r="AH24" s="58" t="n">
        <f aca="false">$D24*S24</f>
        <v>359.1</v>
      </c>
      <c r="AI24" s="59" t="n">
        <f aca="false">AJ24/$AI$2</f>
        <v>0.421267548596112</v>
      </c>
      <c r="AJ24" s="58" t="n">
        <f aca="false">SUM(T24:AH24)</f>
        <v>6241.5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</sheetData>
  <mergeCells count="10">
    <mergeCell ref="A1:D2"/>
    <mergeCell ref="E1:S2"/>
    <mergeCell ref="T1:AH1"/>
    <mergeCell ref="AI1:AJ1"/>
    <mergeCell ref="AI2:AJ2"/>
    <mergeCell ref="A13:D14"/>
    <mergeCell ref="E13:S14"/>
    <mergeCell ref="T13:AH13"/>
    <mergeCell ref="AI13:AJ13"/>
    <mergeCell ref="AI14:AJ1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Z9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H17" activeCellId="0" sqref="H17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46.29"/>
    <col collapsed="false" customWidth="true" hidden="false" outlineLevel="0" max="3" min="3" style="0" width="16.87"/>
    <col collapsed="false" customWidth="true" hidden="false" outlineLevel="0" max="4" min="4" style="0" width="8.71"/>
    <col collapsed="false" customWidth="true" hidden="false" outlineLevel="0" max="5" min="5" style="0" width="6.57"/>
    <col collapsed="false" customWidth="true" hidden="false" outlineLevel="0" max="13" min="6" style="0" width="5.43"/>
    <col collapsed="false" customWidth="true" hidden="false" outlineLevel="0" max="14" min="14" style="0" width="5.57"/>
    <col collapsed="false" customWidth="true" hidden="false" outlineLevel="0" max="17" min="15" style="0" width="15"/>
    <col collapsed="false" customWidth="true" hidden="false" outlineLevel="0" max="18" min="18" style="0" width="17.13"/>
    <col collapsed="false" customWidth="true" hidden="false" outlineLevel="0" max="19" min="19" style="0" width="15"/>
    <col collapsed="false" customWidth="true" hidden="false" outlineLevel="0" max="20" min="20" style="0" width="17.13"/>
    <col collapsed="false" customWidth="true" hidden="false" outlineLevel="0" max="21" min="21" style="0" width="15"/>
    <col collapsed="false" customWidth="true" hidden="false" outlineLevel="0" max="22" min="22" style="0" width="17.13"/>
    <col collapsed="false" customWidth="true" hidden="false" outlineLevel="0" max="24" min="23" style="0" width="15"/>
    <col collapsed="false" customWidth="true" hidden="false" outlineLevel="0" max="25" min="25" style="0" width="8.41"/>
    <col collapsed="false" customWidth="true" hidden="false" outlineLevel="0" max="26" min="26" style="0" width="15.57"/>
  </cols>
  <sheetData>
    <row r="1" customFormat="false" ht="15.75" hidden="false" customHeight="true" outlineLevel="0" collapsed="false">
      <c r="A1" s="74" t="s">
        <v>140</v>
      </c>
      <c r="B1" s="74"/>
      <c r="C1" s="74"/>
      <c r="D1" s="74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90" t="s">
        <v>30</v>
      </c>
      <c r="P1" s="90"/>
      <c r="Q1" s="90"/>
      <c r="R1" s="90"/>
      <c r="S1" s="90"/>
      <c r="T1" s="90"/>
      <c r="U1" s="90"/>
      <c r="V1" s="90"/>
      <c r="W1" s="90"/>
      <c r="X1" s="90"/>
      <c r="Y1" s="37" t="s">
        <v>31</v>
      </c>
      <c r="Z1" s="37"/>
    </row>
    <row r="2" customFormat="false" ht="15.75" hidden="false" customHeight="true" outlineLevel="0" collapsed="false">
      <c r="A2" s="74"/>
      <c r="B2" s="74"/>
      <c r="C2" s="74"/>
      <c r="D2" s="74"/>
      <c r="E2" s="86"/>
      <c r="F2" s="86"/>
      <c r="G2" s="86"/>
      <c r="H2" s="86"/>
      <c r="I2" s="86"/>
      <c r="J2" s="86"/>
      <c r="K2" s="86"/>
      <c r="L2" s="86"/>
      <c r="M2" s="86"/>
      <c r="N2" s="86"/>
      <c r="O2" s="43" t="n">
        <f aca="false">MROUND(SUM(O4:O11),1)</f>
        <v>688</v>
      </c>
      <c r="P2" s="43" t="n">
        <f aca="false">MROUND(SUM(P4:P11),1)</f>
        <v>928</v>
      </c>
      <c r="Q2" s="43" t="n">
        <f aca="false">MROUND(SUM(Q4:Q11),1)</f>
        <v>705</v>
      </c>
      <c r="R2" s="43" t="n">
        <f aca="false">MROUND(SUM(R4:R11),1)</f>
        <v>1082</v>
      </c>
      <c r="S2" s="43" t="n">
        <f aca="false">MROUND(SUM(S4:S11),1)</f>
        <v>739</v>
      </c>
      <c r="T2" s="43" t="n">
        <f aca="false">MROUND(SUM(T4:T11),1)</f>
        <v>2016</v>
      </c>
      <c r="U2" s="43" t="n">
        <f aca="false">MROUND(SUM(U4:U11),1)</f>
        <v>705</v>
      </c>
      <c r="V2" s="43" t="n">
        <f aca="false">MROUND(SUM(V4:V11),1)</f>
        <v>1082</v>
      </c>
      <c r="W2" s="43" t="n">
        <f aca="false">MROUND(SUM(W4:W11),1)</f>
        <v>705</v>
      </c>
      <c r="X2" s="43" t="n">
        <f aca="false">MROUND(SUM(X4:X11),1)</f>
        <v>980</v>
      </c>
      <c r="Y2" s="44" t="n">
        <f aca="false">SUM(O2:X2)</f>
        <v>9630</v>
      </c>
      <c r="Z2" s="44"/>
    </row>
    <row r="3" customFormat="false" ht="15.75" hidden="false" customHeight="tru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n">
        <v>10000</v>
      </c>
      <c r="P3" s="48" t="n">
        <v>20000</v>
      </c>
      <c r="Q3" s="48" t="n">
        <v>30000</v>
      </c>
      <c r="R3" s="48" t="n">
        <v>40000</v>
      </c>
      <c r="S3" s="48" t="n">
        <v>50000</v>
      </c>
      <c r="T3" s="48" t="n">
        <v>60000</v>
      </c>
      <c r="U3" s="48" t="n">
        <v>70000</v>
      </c>
      <c r="V3" s="48" t="n">
        <v>80000</v>
      </c>
      <c r="W3" s="48" t="n">
        <v>90000</v>
      </c>
      <c r="X3" s="48" t="n">
        <v>100000</v>
      </c>
      <c r="Y3" s="51" t="s">
        <v>46</v>
      </c>
      <c r="Z3" s="45" t="s">
        <v>47</v>
      </c>
    </row>
    <row r="4" customFormat="false" ht="15.75" hidden="false" customHeight="true" outlineLevel="0" collapsed="false">
      <c r="A4" s="52" t="n">
        <v>1</v>
      </c>
      <c r="B4" s="53" t="s">
        <v>48</v>
      </c>
      <c r="C4" s="54" t="s">
        <v>82</v>
      </c>
      <c r="D4" s="55" t="n">
        <f aca="false">VLOOKUP(C4,'[1]PREÇO ATUAL'!$A$1:$D$1048576,4,0)</f>
        <v>41.43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96" t="n">
        <v>1</v>
      </c>
      <c r="O4" s="58" t="n">
        <f aca="false">$D4*E4</f>
        <v>41.43</v>
      </c>
      <c r="P4" s="58" t="n">
        <f aca="false">$D4*F4</f>
        <v>41.43</v>
      </c>
      <c r="Q4" s="58" t="n">
        <f aca="false">$D4*G4</f>
        <v>41.43</v>
      </c>
      <c r="R4" s="58" t="n">
        <f aca="false">$D4*H4</f>
        <v>41.43</v>
      </c>
      <c r="S4" s="58" t="n">
        <f aca="false">$D4*I4</f>
        <v>41.43</v>
      </c>
      <c r="T4" s="58" t="n">
        <f aca="false">$D4*J4</f>
        <v>41.43</v>
      </c>
      <c r="U4" s="58" t="n">
        <f aca="false">$D4*K4</f>
        <v>41.43</v>
      </c>
      <c r="V4" s="58" t="n">
        <f aca="false">$D4*L4</f>
        <v>41.43</v>
      </c>
      <c r="W4" s="58" t="n">
        <f aca="false">$D4*M4</f>
        <v>41.43</v>
      </c>
      <c r="X4" s="58" t="n">
        <f aca="false">$D4*N4</f>
        <v>41.43</v>
      </c>
      <c r="Y4" s="59" t="n">
        <f aca="false">Z4/$Y$2</f>
        <v>0.0430218068535826</v>
      </c>
      <c r="Z4" s="58" t="n">
        <f aca="false">SUM(O4:X4)</f>
        <v>414.3</v>
      </c>
    </row>
    <row r="5" customFormat="false" ht="15.75" hidden="false" customHeight="true" outlineLevel="0" collapsed="false">
      <c r="A5" s="60" t="n">
        <v>2</v>
      </c>
      <c r="B5" s="61" t="s">
        <v>83</v>
      </c>
      <c r="C5" s="62" t="s">
        <v>51</v>
      </c>
      <c r="D5" s="63" t="n">
        <f aca="false">VLOOKUP(C5,'[1]PREÇO ATUAL'!$A$1:$D$1048576,4,0)</f>
        <v>35.9</v>
      </c>
      <c r="E5" s="64"/>
      <c r="F5" s="64" t="n">
        <v>1</v>
      </c>
      <c r="G5" s="64"/>
      <c r="H5" s="64" t="n">
        <v>1</v>
      </c>
      <c r="I5" s="65"/>
      <c r="J5" s="65" t="n">
        <v>1</v>
      </c>
      <c r="K5" s="65"/>
      <c r="L5" s="65" t="n">
        <v>1</v>
      </c>
      <c r="M5" s="65"/>
      <c r="N5" s="97" t="n">
        <v>1</v>
      </c>
      <c r="O5" s="66" t="n">
        <f aca="false">$D5*E5</f>
        <v>0</v>
      </c>
      <c r="P5" s="66" t="n">
        <f aca="false">$D5*F5</f>
        <v>35.9</v>
      </c>
      <c r="Q5" s="66" t="n">
        <f aca="false">$D5*G5</f>
        <v>0</v>
      </c>
      <c r="R5" s="66" t="n">
        <f aca="false">$D5*H5</f>
        <v>35.9</v>
      </c>
      <c r="S5" s="66" t="n">
        <f aca="false">$D5*I5</f>
        <v>0</v>
      </c>
      <c r="T5" s="66" t="n">
        <f aca="false">$D5*J5</f>
        <v>35.9</v>
      </c>
      <c r="U5" s="66" t="n">
        <f aca="false">$D5*K5</f>
        <v>0</v>
      </c>
      <c r="V5" s="66" t="n">
        <f aca="false">$D5*L5</f>
        <v>35.9</v>
      </c>
      <c r="W5" s="66" t="n">
        <f aca="false">$D5*M5</f>
        <v>0</v>
      </c>
      <c r="X5" s="66" t="n">
        <f aca="false">$D5*N5</f>
        <v>35.9</v>
      </c>
      <c r="Y5" s="67" t="n">
        <f aca="false">Z5/$Y$2</f>
        <v>0.0186396677050883</v>
      </c>
      <c r="Z5" s="66" t="n">
        <f aca="false">SUM(O5:X5)</f>
        <v>179.5</v>
      </c>
    </row>
    <row r="6" customFormat="false" ht="15.75" hidden="false" customHeight="true" outlineLevel="0" collapsed="false">
      <c r="A6" s="52" t="n">
        <v>3</v>
      </c>
      <c r="B6" s="53" t="s">
        <v>52</v>
      </c>
      <c r="C6" s="54" t="s">
        <v>84</v>
      </c>
      <c r="D6" s="55" t="n">
        <f aca="false">VLOOKUP(C6,'[1]PREÇO ATUAL'!$A$1:$D$1048576,4,0)</f>
        <v>84.9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96" t="n">
        <v>1</v>
      </c>
      <c r="O6" s="58" t="n">
        <f aca="false">$D6*E6</f>
        <v>0</v>
      </c>
      <c r="P6" s="58" t="n">
        <f aca="false">$D6*F6</f>
        <v>84.9</v>
      </c>
      <c r="Q6" s="58" t="n">
        <f aca="false">$D6*G6</f>
        <v>0</v>
      </c>
      <c r="R6" s="58" t="n">
        <f aca="false">$D6*H6</f>
        <v>84.9</v>
      </c>
      <c r="S6" s="58" t="n">
        <f aca="false">$D6*I6</f>
        <v>0</v>
      </c>
      <c r="T6" s="58" t="n">
        <f aca="false">$D6*J6</f>
        <v>84.9</v>
      </c>
      <c r="U6" s="58" t="n">
        <f aca="false">$D6*K6</f>
        <v>0</v>
      </c>
      <c r="V6" s="58" t="n">
        <f aca="false">$D6*L6</f>
        <v>84.9</v>
      </c>
      <c r="W6" s="58" t="n">
        <f aca="false">$D6*M6</f>
        <v>0</v>
      </c>
      <c r="X6" s="58" t="n">
        <f aca="false">$D6*N6</f>
        <v>84.9</v>
      </c>
      <c r="Y6" s="59" t="n">
        <f aca="false">Z6/$Y$2</f>
        <v>0.0440809968847352</v>
      </c>
      <c r="Z6" s="58" t="n">
        <f aca="false">SUM(O6:X6)</f>
        <v>424.5</v>
      </c>
    </row>
    <row r="7" customFormat="false" ht="15.75" hidden="false" customHeight="true" outlineLevel="0" collapsed="false">
      <c r="A7" s="60" t="n">
        <v>4</v>
      </c>
      <c r="B7" s="61" t="s">
        <v>85</v>
      </c>
      <c r="C7" s="62" t="s">
        <v>86</v>
      </c>
      <c r="D7" s="63" t="n">
        <f aca="false">VLOOKUP(C7,'[1]PREÇO ATUAL'!$A$1:$D$1048576,4,0)</f>
        <v>114.24</v>
      </c>
      <c r="E7" s="64"/>
      <c r="F7" s="64"/>
      <c r="G7" s="64"/>
      <c r="H7" s="64"/>
      <c r="I7" s="65"/>
      <c r="J7" s="65" t="n">
        <v>4</v>
      </c>
      <c r="K7" s="65"/>
      <c r="L7" s="65"/>
      <c r="M7" s="65"/>
      <c r="N7" s="97"/>
      <c r="O7" s="66" t="n">
        <f aca="false">$D7*E7</f>
        <v>0</v>
      </c>
      <c r="P7" s="66" t="n">
        <f aca="false">$D7*F7</f>
        <v>0</v>
      </c>
      <c r="Q7" s="66" t="n">
        <f aca="false">$D7*G7</f>
        <v>0</v>
      </c>
      <c r="R7" s="66" t="n">
        <f aca="false">$D7*H7</f>
        <v>0</v>
      </c>
      <c r="S7" s="66" t="n">
        <f aca="false">$D7*I7</f>
        <v>0</v>
      </c>
      <c r="T7" s="66" t="n">
        <f aca="false">$D7*J7</f>
        <v>456.96</v>
      </c>
      <c r="U7" s="66" t="n">
        <f aca="false">$D7*K7</f>
        <v>0</v>
      </c>
      <c r="V7" s="66" t="n">
        <f aca="false">$D7*L7</f>
        <v>0</v>
      </c>
      <c r="W7" s="66" t="n">
        <f aca="false">$D7*M7</f>
        <v>0</v>
      </c>
      <c r="X7" s="66" t="n">
        <f aca="false">$D7*N7</f>
        <v>0</v>
      </c>
      <c r="Y7" s="67" t="n">
        <f aca="false">Z7/$Y$2</f>
        <v>0.0474517133956386</v>
      </c>
      <c r="Z7" s="66" t="n">
        <f aca="false">SUM(O7:X7)</f>
        <v>456.96</v>
      </c>
    </row>
    <row r="8" customFormat="false" ht="15.75" hidden="false" customHeight="true" outlineLevel="0" collapsed="false">
      <c r="A8" s="52" t="n">
        <v>5</v>
      </c>
      <c r="B8" s="53" t="s">
        <v>87</v>
      </c>
      <c r="C8" s="54" t="s">
        <v>88</v>
      </c>
      <c r="D8" s="55" t="n">
        <f aca="false">VLOOKUP(C8,'[1]PREÇO ATUAL'!$A$1:$D$1048576,4,0)</f>
        <v>169.01</v>
      </c>
      <c r="E8" s="56"/>
      <c r="F8" s="56"/>
      <c r="G8" s="56"/>
      <c r="H8" s="56"/>
      <c r="I8" s="57"/>
      <c r="J8" s="57" t="n">
        <v>1</v>
      </c>
      <c r="K8" s="57"/>
      <c r="L8" s="57"/>
      <c r="M8" s="57"/>
      <c r="N8" s="96"/>
      <c r="O8" s="58" t="n">
        <f aca="false">$D8*E8</f>
        <v>0</v>
      </c>
      <c r="P8" s="58" t="n">
        <f aca="false">$D8*F8</f>
        <v>0</v>
      </c>
      <c r="Q8" s="58" t="n">
        <f aca="false">$D8*G8</f>
        <v>0</v>
      </c>
      <c r="R8" s="58" t="n">
        <f aca="false">$D8*H8</f>
        <v>0</v>
      </c>
      <c r="S8" s="58" t="n">
        <f aca="false">$D8*I8</f>
        <v>0</v>
      </c>
      <c r="T8" s="58" t="n">
        <f aca="false">$D8*J8</f>
        <v>169.01</v>
      </c>
      <c r="U8" s="58" t="n">
        <f aca="false">$D8*K8</f>
        <v>0</v>
      </c>
      <c r="V8" s="58" t="n">
        <f aca="false">$D8*L8</f>
        <v>0</v>
      </c>
      <c r="W8" s="58" t="n">
        <f aca="false">$D8*M8</f>
        <v>0</v>
      </c>
      <c r="X8" s="58" t="n">
        <f aca="false">$D8*N8</f>
        <v>0</v>
      </c>
      <c r="Y8" s="59" t="n">
        <f aca="false">Z8/$Y$2</f>
        <v>0.0175503634475597</v>
      </c>
      <c r="Z8" s="58" t="n">
        <f aca="false">SUM(O8:X8)</f>
        <v>169.01</v>
      </c>
    </row>
    <row r="9" customFormat="false" ht="15.75" hidden="false" customHeight="true" outlineLevel="0" collapsed="false">
      <c r="A9" s="60" t="n">
        <v>6</v>
      </c>
      <c r="B9" s="61" t="s">
        <v>60</v>
      </c>
      <c r="C9" s="62" t="s">
        <v>61</v>
      </c>
      <c r="D9" s="63" t="n">
        <f aca="false">VLOOKUP(C9,'[1]PREÇO ATUAL'!$A$1:$D$1048576,4,0)</f>
        <v>33.6224930838505</v>
      </c>
      <c r="E9" s="64"/>
      <c r="F9" s="64"/>
      <c r="G9" s="64"/>
      <c r="H9" s="64"/>
      <c r="I9" s="65"/>
      <c r="J9" s="65"/>
      <c r="K9" s="65"/>
      <c r="L9" s="65"/>
      <c r="M9" s="65"/>
      <c r="N9" s="97"/>
      <c r="O9" s="66" t="n">
        <f aca="false">$D9*E9</f>
        <v>0</v>
      </c>
      <c r="P9" s="66" t="n">
        <f aca="false">$D9*F9</f>
        <v>0</v>
      </c>
      <c r="Q9" s="66" t="n">
        <f aca="false">$D9*G9</f>
        <v>0</v>
      </c>
      <c r="R9" s="66" t="n">
        <f aca="false">$D9*H9</f>
        <v>0</v>
      </c>
      <c r="S9" s="66" t="n">
        <f aca="false">$D9*I9</f>
        <v>0</v>
      </c>
      <c r="T9" s="66" t="n">
        <f aca="false">$D9*J9</f>
        <v>0</v>
      </c>
      <c r="U9" s="66" t="n">
        <f aca="false">$D9*K9</f>
        <v>0</v>
      </c>
      <c r="V9" s="66" t="n">
        <f aca="false">$D9*L9</f>
        <v>0</v>
      </c>
      <c r="W9" s="66" t="n">
        <f aca="false">$D9*M9</f>
        <v>0</v>
      </c>
      <c r="X9" s="66" t="n">
        <f aca="false">$D9*N9</f>
        <v>0</v>
      </c>
      <c r="Y9" s="67" t="n">
        <f aca="false">Z9/$Y$2</f>
        <v>0</v>
      </c>
      <c r="Z9" s="66" t="n">
        <f aca="false">SUM(O9:X9)</f>
        <v>0</v>
      </c>
    </row>
    <row r="10" customFormat="false" ht="15.75" hidden="false" customHeight="true" outlineLevel="0" collapsed="false">
      <c r="A10" s="52" t="n">
        <v>7</v>
      </c>
      <c r="B10" s="53" t="s">
        <v>89</v>
      </c>
      <c r="C10" s="54" t="s">
        <v>90</v>
      </c>
      <c r="D10" s="55" t="n">
        <f aca="false">VLOOKUP(C10,'[1]PREÇO ATUAL'!$A$1:$D$1048576,4,0)</f>
        <v>75.7</v>
      </c>
      <c r="E10" s="69" t="n">
        <v>4.7</v>
      </c>
      <c r="F10" s="69" t="n">
        <v>4.7</v>
      </c>
      <c r="G10" s="69" t="n">
        <v>4.7</v>
      </c>
      <c r="H10" s="69" t="n">
        <v>4.7</v>
      </c>
      <c r="I10" s="69" t="n">
        <v>4.7</v>
      </c>
      <c r="J10" s="69" t="n">
        <v>4.7</v>
      </c>
      <c r="K10" s="69" t="n">
        <v>4.7</v>
      </c>
      <c r="L10" s="69" t="n">
        <v>4.7</v>
      </c>
      <c r="M10" s="69" t="n">
        <v>4.7</v>
      </c>
      <c r="N10" s="69" t="n">
        <v>4.7</v>
      </c>
      <c r="O10" s="58" t="n">
        <f aca="false">$D10*E10</f>
        <v>355.79</v>
      </c>
      <c r="P10" s="58" t="n">
        <f aca="false">$D10*F10</f>
        <v>355.79</v>
      </c>
      <c r="Q10" s="58" t="n">
        <f aca="false">$D10*G10</f>
        <v>355.79</v>
      </c>
      <c r="R10" s="58" t="n">
        <f aca="false">$D10*H10</f>
        <v>355.79</v>
      </c>
      <c r="S10" s="58" t="n">
        <f aca="false">$D10*I10</f>
        <v>355.79</v>
      </c>
      <c r="T10" s="58" t="n">
        <f aca="false">$D10*J10</f>
        <v>355.79</v>
      </c>
      <c r="U10" s="58" t="n">
        <f aca="false">$D10*K10</f>
        <v>355.79</v>
      </c>
      <c r="V10" s="58" t="n">
        <f aca="false">$D10*L10</f>
        <v>355.79</v>
      </c>
      <c r="W10" s="58" t="n">
        <f aca="false">$D10*M10</f>
        <v>355.79</v>
      </c>
      <c r="X10" s="58" t="n">
        <f aca="false">$D10*N10</f>
        <v>355.79</v>
      </c>
      <c r="Y10" s="59" t="n">
        <f aca="false">Z10/$Y$2</f>
        <v>0.369460020768432</v>
      </c>
      <c r="Z10" s="58" t="n">
        <f aca="false">SUM(O10:X10)</f>
        <v>3557.9</v>
      </c>
    </row>
    <row r="11" customFormat="false" ht="15.75" hidden="false" customHeight="true" outlineLevel="0" collapsed="false">
      <c r="A11" s="60" t="n">
        <v>8</v>
      </c>
      <c r="B11" s="61" t="s">
        <v>64</v>
      </c>
      <c r="C11" s="62" t="s">
        <v>65</v>
      </c>
      <c r="D11" s="63" t="n">
        <f aca="false">VLOOKUP(C11,'[1]PREÇO ATUAL'!$A$1:$D$1048576,4,0)</f>
        <v>342</v>
      </c>
      <c r="E11" s="70" t="n">
        <v>0.85</v>
      </c>
      <c r="F11" s="70" t="n">
        <v>1.2</v>
      </c>
      <c r="G11" s="70" t="n">
        <v>0.9</v>
      </c>
      <c r="H11" s="70" t="n">
        <v>1.65</v>
      </c>
      <c r="I11" s="63" t="n">
        <v>1</v>
      </c>
      <c r="J11" s="63" t="n">
        <v>2.55</v>
      </c>
      <c r="K11" s="63" t="n">
        <v>0.9</v>
      </c>
      <c r="L11" s="63" t="n">
        <v>1.65</v>
      </c>
      <c r="M11" s="63" t="n">
        <v>0.9</v>
      </c>
      <c r="N11" s="119" t="n">
        <v>1.35</v>
      </c>
      <c r="O11" s="66" t="n">
        <f aca="false">D11*E11</f>
        <v>290.7</v>
      </c>
      <c r="P11" s="66" t="n">
        <f aca="false">$D11*F11</f>
        <v>410.4</v>
      </c>
      <c r="Q11" s="66" t="n">
        <f aca="false">$D11*G11</f>
        <v>307.8</v>
      </c>
      <c r="R11" s="66" t="n">
        <f aca="false">$D11*H11</f>
        <v>564.3</v>
      </c>
      <c r="S11" s="66" t="n">
        <f aca="false">$D11*I11</f>
        <v>342</v>
      </c>
      <c r="T11" s="66" t="n">
        <f aca="false">$D11*J11</f>
        <v>872.1</v>
      </c>
      <c r="U11" s="66" t="n">
        <f aca="false">$D11*K11</f>
        <v>307.8</v>
      </c>
      <c r="V11" s="66" t="n">
        <f aca="false">$D11*L11</f>
        <v>564.3</v>
      </c>
      <c r="W11" s="66" t="n">
        <f aca="false">$D11*M11</f>
        <v>307.8</v>
      </c>
      <c r="X11" s="66" t="n">
        <f aca="false">$D11*N11</f>
        <v>461.7</v>
      </c>
      <c r="Y11" s="67" t="n">
        <f aca="false">Z11/$Y$2</f>
        <v>0.459906542056075</v>
      </c>
      <c r="Z11" s="66" t="n">
        <f aca="false">SUM(O11:X11)</f>
        <v>4428.9</v>
      </c>
    </row>
    <row r="12" customFormat="false" ht="15.75" hidden="false" customHeight="true" outlineLevel="0" collapsed="false">
      <c r="H12" s="71"/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</sheetData>
  <mergeCells count="5">
    <mergeCell ref="A1:D2"/>
    <mergeCell ref="E1:N2"/>
    <mergeCell ref="O1:X1"/>
    <mergeCell ref="Y1:Z1"/>
    <mergeCell ref="Y2:Z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P998"/>
  <sheetViews>
    <sheetView showFormulas="false" showGridLines="false" showRowColHeaders="true" showZeros="true" rightToLeft="false" tabSelected="false" showOutlineSymbols="true" defaultGridColor="true" view="normal" topLeftCell="A28" colorId="64" zoomScale="100" zoomScaleNormal="100" zoomScalePageLayoutView="100" workbookViewId="0">
      <pane xSplit="4" ySplit="0" topLeftCell="E28" activePane="topRight" state="frozen"/>
      <selection pane="topLeft" activeCell="A28" activeCellId="0" sqref="A28"/>
      <selection pane="topRight" activeCell="C41" activeCellId="0" sqref="C41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58.29"/>
    <col collapsed="false" customWidth="true" hidden="false" outlineLevel="0" max="3" min="3" style="0" width="20.3"/>
    <col collapsed="false" customWidth="true" hidden="false" outlineLevel="0" max="4" min="4" style="0" width="8.71"/>
    <col collapsed="false" customWidth="true" hidden="false" outlineLevel="0" max="19" min="5" style="0" width="5.14"/>
    <col collapsed="false" customWidth="true" hidden="false" outlineLevel="0" max="21" min="20" style="0" width="14.57"/>
    <col collapsed="false" customWidth="true" hidden="false" outlineLevel="0" max="23" min="22" style="0" width="15.71"/>
    <col collapsed="false" customWidth="true" hidden="false" outlineLevel="0" max="24" min="24" style="0" width="14.57"/>
    <col collapsed="false" customWidth="true" hidden="false" outlineLevel="0" max="25" min="25" style="0" width="16.87"/>
    <col collapsed="false" customWidth="true" hidden="false" outlineLevel="0" max="26" min="26" style="0" width="14.57"/>
    <col collapsed="false" customWidth="true" hidden="false" outlineLevel="0" max="28" min="27" style="0" width="15.71"/>
    <col collapsed="false" customWidth="true" hidden="false" outlineLevel="0" max="29" min="29" style="0" width="13.7"/>
    <col collapsed="false" customWidth="true" hidden="false" outlineLevel="0" max="30" min="30" style="0" width="18.42"/>
    <col collapsed="false" customWidth="true" hidden="false" outlineLevel="0" max="31" min="31" style="0" width="15.71"/>
    <col collapsed="false" customWidth="true" hidden="false" outlineLevel="0" max="33" min="32" style="0" width="13.7"/>
    <col collapsed="false" customWidth="true" hidden="false" outlineLevel="0" max="34" min="34" style="0" width="15.71"/>
    <col collapsed="false" customWidth="true" hidden="false" outlineLevel="0" max="35" min="35" style="0" width="8.41"/>
    <col collapsed="false" customWidth="true" hidden="false" outlineLevel="0" max="36" min="36" style="0" width="15.57"/>
    <col collapsed="false" customWidth="true" hidden="false" outlineLevel="0" max="37" min="37" style="0" width="11.71"/>
    <col collapsed="false" customWidth="true" hidden="false" outlineLevel="0" max="38" min="38" style="0" width="9.13"/>
    <col collapsed="false" customWidth="true" hidden="false" outlineLevel="0" max="39" min="39" style="0" width="11.42"/>
    <col collapsed="false" customWidth="true" hidden="false" outlineLevel="0" max="42" min="40" style="0" width="9.13"/>
  </cols>
  <sheetData>
    <row r="1" customFormat="false" ht="15" hidden="false" customHeight="true" outlineLevel="0" collapsed="false">
      <c r="A1" s="89" t="s">
        <v>141</v>
      </c>
      <c r="B1" s="89"/>
      <c r="C1" s="89"/>
      <c r="D1" s="89"/>
      <c r="E1" s="35" t="s">
        <v>29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6" t="s">
        <v>30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 t="s">
        <v>31</v>
      </c>
      <c r="AJ1" s="37"/>
    </row>
    <row r="2" customFormat="false" ht="15" hidden="false" customHeight="false" outlineLevel="0" collapsed="false">
      <c r="A2" s="89"/>
      <c r="B2" s="89"/>
      <c r="C2" s="89"/>
      <c r="D2" s="89"/>
      <c r="E2" s="41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3" t="n">
        <f aca="false">MROUND(SUM(T4:T13),1)</f>
        <v>600</v>
      </c>
      <c r="U2" s="43" t="n">
        <f aca="false">MROUND(SUM(U4:U13),1)</f>
        <v>805</v>
      </c>
      <c r="V2" s="43" t="n">
        <f aca="false">MROUND(SUM(V4:V13),1)</f>
        <v>1161</v>
      </c>
      <c r="W2" s="43" t="n">
        <f aca="false">MROUND(SUM(W4:W13),1)</f>
        <v>908</v>
      </c>
      <c r="X2" s="43" t="n">
        <f aca="false">MROUND(SUM(X4:X13),1)</f>
        <v>669</v>
      </c>
      <c r="Y2" s="43" t="n">
        <f aca="false">MROUND(SUM(Y4:Y13),1)</f>
        <v>2369</v>
      </c>
      <c r="Z2" s="43" t="n">
        <f aca="false">MROUND(SUM(Z4:Z13),1)</f>
        <v>600</v>
      </c>
      <c r="AA2" s="43" t="n">
        <f aca="false">MROUND(SUM(AA4:AA13),1)</f>
        <v>908</v>
      </c>
      <c r="AB2" s="43" t="n">
        <f aca="false">MROUND(SUM(AB4:AB13),1)</f>
        <v>1161</v>
      </c>
      <c r="AC2" s="43" t="n">
        <f aca="false">MROUND(SUM(AC4:AC13),1)</f>
        <v>925</v>
      </c>
      <c r="AD2" s="43" t="n">
        <f aca="false">MROUND(SUM(AD4:AD13),1)</f>
        <v>600</v>
      </c>
      <c r="AE2" s="43" t="n">
        <f aca="false">MROUND(SUM(AE4:AE13),1)</f>
        <v>2531</v>
      </c>
      <c r="AF2" s="43" t="n">
        <f aca="false">MROUND(SUM(AF4:AF13),1)</f>
        <v>600</v>
      </c>
      <c r="AG2" s="43" t="n">
        <f aca="false">MROUND(SUM(AG4:AG13),1)</f>
        <v>805</v>
      </c>
      <c r="AH2" s="43" t="n">
        <f aca="false">MROUND(SUM(AH4:AH13),1)</f>
        <v>1230</v>
      </c>
      <c r="AI2" s="44" t="n">
        <f aca="false">SUM(T2:AH2)</f>
        <v>15872</v>
      </c>
      <c r="AJ2" s="44"/>
    </row>
    <row r="3" customFormat="false" ht="15" hidden="false" customHeight="false" outlineLevel="0" collapsed="false">
      <c r="A3" s="45" t="s">
        <v>32</v>
      </c>
      <c r="B3" s="45" t="s">
        <v>33</v>
      </c>
      <c r="C3" s="46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s">
        <v>142</v>
      </c>
      <c r="P3" s="48" t="s">
        <v>143</v>
      </c>
      <c r="Q3" s="48" t="s">
        <v>144</v>
      </c>
      <c r="R3" s="48" t="s">
        <v>145</v>
      </c>
      <c r="S3" s="48" t="s">
        <v>146</v>
      </c>
      <c r="T3" s="48" t="n">
        <v>10000</v>
      </c>
      <c r="U3" s="48" t="n">
        <v>20000</v>
      </c>
      <c r="V3" s="48" t="n">
        <v>30000</v>
      </c>
      <c r="W3" s="48" t="n">
        <v>40000</v>
      </c>
      <c r="X3" s="48" t="n">
        <v>50000</v>
      </c>
      <c r="Y3" s="48" t="n">
        <v>60000</v>
      </c>
      <c r="Z3" s="48" t="n">
        <v>70000</v>
      </c>
      <c r="AA3" s="48" t="n">
        <v>80000</v>
      </c>
      <c r="AB3" s="48" t="n">
        <v>90000</v>
      </c>
      <c r="AC3" s="48" t="n">
        <v>100000</v>
      </c>
      <c r="AD3" s="48" t="n">
        <f aca="false">AC3+10000</f>
        <v>110000</v>
      </c>
      <c r="AE3" s="48" t="n">
        <f aca="false">AD3+10000</f>
        <v>120000</v>
      </c>
      <c r="AF3" s="48" t="n">
        <f aca="false">AE3+10000</f>
        <v>130000</v>
      </c>
      <c r="AG3" s="48" t="n">
        <f aca="false">AF3+10000</f>
        <v>140000</v>
      </c>
      <c r="AH3" s="48" t="n">
        <f aca="false">AG3+10000</f>
        <v>150000</v>
      </c>
      <c r="AI3" s="51" t="s">
        <v>46</v>
      </c>
      <c r="AJ3" s="45" t="s">
        <v>47</v>
      </c>
    </row>
    <row r="4" customFormat="false" ht="15" hidden="false" customHeight="false" outlineLevel="0" collapsed="false">
      <c r="A4" s="52" t="n">
        <v>1</v>
      </c>
      <c r="B4" s="53" t="s">
        <v>92</v>
      </c>
      <c r="C4" s="54" t="s">
        <v>121</v>
      </c>
      <c r="D4" s="55" t="n">
        <f aca="false">VLOOKUP(C4,'[1]PREÇO ATUAL'!$A$1:$D$1048576,4,0)</f>
        <v>41.9</v>
      </c>
      <c r="E4" s="56"/>
      <c r="F4" s="56"/>
      <c r="G4" s="56" t="n">
        <v>4</v>
      </c>
      <c r="H4" s="56"/>
      <c r="I4" s="57"/>
      <c r="J4" s="57" t="n">
        <v>4</v>
      </c>
      <c r="K4" s="57"/>
      <c r="L4" s="57"/>
      <c r="M4" s="57" t="n">
        <v>4</v>
      </c>
      <c r="N4" s="57"/>
      <c r="O4" s="57"/>
      <c r="P4" s="57" t="n">
        <v>4</v>
      </c>
      <c r="Q4" s="57"/>
      <c r="R4" s="57"/>
      <c r="S4" s="57" t="n">
        <v>4</v>
      </c>
      <c r="T4" s="58" t="n">
        <f aca="false">$D4*E4</f>
        <v>0</v>
      </c>
      <c r="U4" s="58" t="n">
        <f aca="false">$D4*F4</f>
        <v>0</v>
      </c>
      <c r="V4" s="58" t="n">
        <f aca="false">$D4*G4</f>
        <v>167.6</v>
      </c>
      <c r="W4" s="58" t="n">
        <f aca="false">$D4*H4</f>
        <v>0</v>
      </c>
      <c r="X4" s="58" t="n">
        <f aca="false">$D4*I4</f>
        <v>0</v>
      </c>
      <c r="Y4" s="58" t="n">
        <f aca="false">$D4*J4</f>
        <v>167.6</v>
      </c>
      <c r="Z4" s="58" t="n">
        <f aca="false">$D4*K4</f>
        <v>0</v>
      </c>
      <c r="AA4" s="58" t="n">
        <f aca="false">$D4*L4</f>
        <v>0</v>
      </c>
      <c r="AB4" s="58" t="n">
        <f aca="false">$D4*M4</f>
        <v>167.6</v>
      </c>
      <c r="AC4" s="58" t="n">
        <f aca="false">$D4*N4</f>
        <v>0</v>
      </c>
      <c r="AD4" s="58" t="n">
        <f aca="false">$D4*O4</f>
        <v>0</v>
      </c>
      <c r="AE4" s="58" t="n">
        <f aca="false">$D4*P4</f>
        <v>167.6</v>
      </c>
      <c r="AF4" s="58" t="n">
        <f aca="false">$D4*Q4</f>
        <v>0</v>
      </c>
      <c r="AG4" s="58" t="n">
        <f aca="false">$D4*R4</f>
        <v>0</v>
      </c>
      <c r="AH4" s="58" t="n">
        <f aca="false">$D4*S4</f>
        <v>167.6</v>
      </c>
      <c r="AI4" s="59" t="n">
        <f aca="false">AJ4/$AI$2</f>
        <v>0.0527973790322581</v>
      </c>
      <c r="AJ4" s="58" t="n">
        <f aca="false">SUM(T4:AH4)</f>
        <v>838</v>
      </c>
    </row>
    <row r="5" customFormat="false" ht="15" hidden="false" customHeight="false" outlineLevel="0" collapsed="false">
      <c r="A5" s="60" t="n">
        <v>2</v>
      </c>
      <c r="B5" s="61" t="s">
        <v>94</v>
      </c>
      <c r="C5" s="62" t="s">
        <v>95</v>
      </c>
      <c r="D5" s="63" t="n">
        <f aca="false">VLOOKUP(C5,'[1]PREÇO ATUAL'!$A$1:$D$1048576,4,0)</f>
        <v>136.4</v>
      </c>
      <c r="E5" s="64"/>
      <c r="F5" s="64"/>
      <c r="G5" s="64"/>
      <c r="H5" s="64"/>
      <c r="I5" s="65"/>
      <c r="J5" s="65" t="n">
        <v>1</v>
      </c>
      <c r="K5" s="65"/>
      <c r="L5" s="65"/>
      <c r="M5" s="65"/>
      <c r="N5" s="65"/>
      <c r="O5" s="65"/>
      <c r="P5" s="65" t="n">
        <v>1</v>
      </c>
      <c r="Q5" s="65"/>
      <c r="R5" s="65"/>
      <c r="S5" s="65"/>
      <c r="T5" s="66" t="n">
        <f aca="false">$D5*E5</f>
        <v>0</v>
      </c>
      <c r="U5" s="66" t="n">
        <f aca="false">$D5*F5</f>
        <v>0</v>
      </c>
      <c r="V5" s="66" t="n">
        <f aca="false">$D5*G5</f>
        <v>0</v>
      </c>
      <c r="W5" s="66" t="n">
        <f aca="false">$D5*H5</f>
        <v>0</v>
      </c>
      <c r="X5" s="66" t="n">
        <f aca="false">$D5*I5</f>
        <v>0</v>
      </c>
      <c r="Y5" s="66" t="n">
        <f aca="false">$D5*J5</f>
        <v>136.4</v>
      </c>
      <c r="Z5" s="66" t="n">
        <f aca="false">$D5*K5</f>
        <v>0</v>
      </c>
      <c r="AA5" s="66" t="n">
        <f aca="false">$D5*L5</f>
        <v>0</v>
      </c>
      <c r="AB5" s="66" t="n">
        <f aca="false">$D5*M5</f>
        <v>0</v>
      </c>
      <c r="AC5" s="66" t="n">
        <f aca="false">$D5*N5</f>
        <v>0</v>
      </c>
      <c r="AD5" s="66" t="n">
        <f aca="false">$D5*O5</f>
        <v>0</v>
      </c>
      <c r="AE5" s="66" t="n">
        <f aca="false">$D5*P5</f>
        <v>136.4</v>
      </c>
      <c r="AF5" s="66" t="n">
        <f aca="false">$D5*Q5</f>
        <v>0</v>
      </c>
      <c r="AG5" s="66" t="n">
        <f aca="false">$D5*R5</f>
        <v>0</v>
      </c>
      <c r="AH5" s="66" t="n">
        <f aca="false">$D5*S5</f>
        <v>0</v>
      </c>
      <c r="AI5" s="67" t="n">
        <f aca="false">AJ5/$AI$2</f>
        <v>0.0171875</v>
      </c>
      <c r="AJ5" s="66" t="n">
        <f aca="false">SUM(T5:AH5)</f>
        <v>272.8</v>
      </c>
    </row>
    <row r="6" customFormat="false" ht="15" hidden="false" customHeight="false" outlineLevel="0" collapsed="false">
      <c r="A6" s="52" t="n">
        <v>3</v>
      </c>
      <c r="B6" s="53" t="s">
        <v>96</v>
      </c>
      <c r="C6" s="54" t="s">
        <v>97</v>
      </c>
      <c r="D6" s="55" t="n">
        <f aca="false">VLOOKUP(C6,'[1]PREÇO ATUAL'!$A$1:$D$1048576,4,0)</f>
        <v>71.2</v>
      </c>
      <c r="E6" s="56" t="n">
        <v>1</v>
      </c>
      <c r="F6" s="56" t="n">
        <v>1</v>
      </c>
      <c r="G6" s="56" t="n">
        <v>1</v>
      </c>
      <c r="H6" s="56" t="n">
        <v>1</v>
      </c>
      <c r="I6" s="57" t="n">
        <v>1</v>
      </c>
      <c r="J6" s="57" t="n">
        <v>1</v>
      </c>
      <c r="K6" s="57" t="n">
        <v>1</v>
      </c>
      <c r="L6" s="57" t="n">
        <v>1</v>
      </c>
      <c r="M6" s="57" t="n">
        <v>1</v>
      </c>
      <c r="N6" s="96" t="n">
        <v>1</v>
      </c>
      <c r="O6" s="57" t="n">
        <v>1</v>
      </c>
      <c r="P6" s="57" t="n">
        <v>1</v>
      </c>
      <c r="Q6" s="57" t="n">
        <v>1</v>
      </c>
      <c r="R6" s="56" t="n">
        <v>1</v>
      </c>
      <c r="S6" s="57" t="n">
        <v>1</v>
      </c>
      <c r="T6" s="58" t="n">
        <f aca="false">$D6*E6</f>
        <v>71.2</v>
      </c>
      <c r="U6" s="58" t="n">
        <f aca="false">$D6*F6</f>
        <v>71.2</v>
      </c>
      <c r="V6" s="58" t="n">
        <f aca="false">$D6*G6</f>
        <v>71.2</v>
      </c>
      <c r="W6" s="58" t="n">
        <f aca="false">$D6*H6</f>
        <v>71.2</v>
      </c>
      <c r="X6" s="58" t="n">
        <f aca="false">$D6*I6</f>
        <v>71.2</v>
      </c>
      <c r="Y6" s="58" t="n">
        <f aca="false">$D6*J6</f>
        <v>71.2</v>
      </c>
      <c r="Z6" s="58" t="n">
        <f aca="false">$D6*K6</f>
        <v>71.2</v>
      </c>
      <c r="AA6" s="58" t="n">
        <f aca="false">$D6*L6</f>
        <v>71.2</v>
      </c>
      <c r="AB6" s="58" t="n">
        <f aca="false">$D6*M6</f>
        <v>71.2</v>
      </c>
      <c r="AC6" s="58" t="n">
        <f aca="false">$D6*N6</f>
        <v>71.2</v>
      </c>
      <c r="AD6" s="58" t="n">
        <f aca="false">$D6*O6</f>
        <v>71.2</v>
      </c>
      <c r="AE6" s="58" t="n">
        <f aca="false">$D6*P6</f>
        <v>71.2</v>
      </c>
      <c r="AF6" s="58" t="n">
        <f aca="false">$D6*Q6</f>
        <v>71.2</v>
      </c>
      <c r="AG6" s="58" t="n">
        <f aca="false">$D6*R6</f>
        <v>71.2</v>
      </c>
      <c r="AH6" s="58" t="n">
        <f aca="false">$D6*S6</f>
        <v>71.2</v>
      </c>
      <c r="AI6" s="59" t="n">
        <f aca="false">AJ6/$AI$2</f>
        <v>0.0672883064516129</v>
      </c>
      <c r="AJ6" s="58" t="n">
        <f aca="false">SUM(T6:AH6)</f>
        <v>1068</v>
      </c>
    </row>
    <row r="7" customFormat="false" ht="15" hidden="false" customHeight="false" outlineLevel="0" collapsed="false">
      <c r="A7" s="60" t="n">
        <v>4</v>
      </c>
      <c r="B7" s="61" t="s">
        <v>98</v>
      </c>
      <c r="C7" s="62" t="s">
        <v>51</v>
      </c>
      <c r="D7" s="63" t="n">
        <f aca="false">VLOOKUP(C7,'[1]PREÇO ATUAL'!$A$1:$D$1048576,4,0)</f>
        <v>35.9</v>
      </c>
      <c r="E7" s="64"/>
      <c r="F7" s="64" t="n">
        <v>1</v>
      </c>
      <c r="G7" s="64"/>
      <c r="H7" s="64" t="n">
        <v>1</v>
      </c>
      <c r="I7" s="65"/>
      <c r="J7" s="65" t="n">
        <v>1</v>
      </c>
      <c r="K7" s="65"/>
      <c r="L7" s="65" t="n">
        <v>1</v>
      </c>
      <c r="M7" s="65"/>
      <c r="N7" s="97" t="n">
        <v>1</v>
      </c>
      <c r="O7" s="65"/>
      <c r="P7" s="65" t="n">
        <v>1</v>
      </c>
      <c r="Q7" s="65"/>
      <c r="R7" s="64" t="n">
        <v>1</v>
      </c>
      <c r="S7" s="65"/>
      <c r="T7" s="66" t="n">
        <f aca="false">$D7*E7</f>
        <v>0</v>
      </c>
      <c r="U7" s="66" t="n">
        <f aca="false">$D7*F7</f>
        <v>35.9</v>
      </c>
      <c r="V7" s="66" t="n">
        <f aca="false">$D7*G7</f>
        <v>0</v>
      </c>
      <c r="W7" s="66" t="n">
        <f aca="false">$D7*H7</f>
        <v>35.9</v>
      </c>
      <c r="X7" s="66" t="n">
        <f aca="false">$D7*I7</f>
        <v>0</v>
      </c>
      <c r="Y7" s="66" t="n">
        <f aca="false">$D7*J7</f>
        <v>35.9</v>
      </c>
      <c r="Z7" s="66" t="n">
        <f aca="false">$D7*K7</f>
        <v>0</v>
      </c>
      <c r="AA7" s="66" t="n">
        <f aca="false">$D7*L7</f>
        <v>35.9</v>
      </c>
      <c r="AB7" s="66" t="n">
        <f aca="false">$D7*M7</f>
        <v>0</v>
      </c>
      <c r="AC7" s="66" t="n">
        <f aca="false">$D7*N7</f>
        <v>35.9</v>
      </c>
      <c r="AD7" s="66" t="n">
        <f aca="false">$D7*O7</f>
        <v>0</v>
      </c>
      <c r="AE7" s="66" t="n">
        <f aca="false">$D7*P7</f>
        <v>35.9</v>
      </c>
      <c r="AF7" s="66" t="n">
        <f aca="false">$D7*Q7</f>
        <v>0</v>
      </c>
      <c r="AG7" s="66" t="n">
        <f aca="false">$D7*R7</f>
        <v>35.9</v>
      </c>
      <c r="AH7" s="66" t="n">
        <f aca="false">$D7*S7</f>
        <v>0</v>
      </c>
      <c r="AI7" s="67" t="n">
        <f aca="false">AJ7/$AI$2</f>
        <v>0.0158329133064516</v>
      </c>
      <c r="AJ7" s="66" t="n">
        <f aca="false">SUM(T7:AH7)</f>
        <v>251.3</v>
      </c>
    </row>
    <row r="8" customFormat="false" ht="15" hidden="false" customHeight="false" outlineLevel="0" collapsed="false">
      <c r="A8" s="52" t="n">
        <v>5</v>
      </c>
      <c r="B8" s="53" t="s">
        <v>99</v>
      </c>
      <c r="C8" s="54" t="s">
        <v>100</v>
      </c>
      <c r="D8" s="55" t="n">
        <f aca="false">VLOOKUP(C8,'[1]PREÇO ATUAL'!$A$1:$D$1048576,4,0)</f>
        <v>83.06</v>
      </c>
      <c r="E8" s="56"/>
      <c r="F8" s="56" t="n">
        <v>1</v>
      </c>
      <c r="G8" s="56"/>
      <c r="H8" s="56" t="n">
        <v>1</v>
      </c>
      <c r="I8" s="57"/>
      <c r="J8" s="57" t="n">
        <v>1</v>
      </c>
      <c r="K8" s="57"/>
      <c r="L8" s="57" t="n">
        <v>1</v>
      </c>
      <c r="M8" s="57"/>
      <c r="N8" s="96" t="n">
        <v>1</v>
      </c>
      <c r="O8" s="57"/>
      <c r="P8" s="57" t="n">
        <v>1</v>
      </c>
      <c r="Q8" s="57"/>
      <c r="R8" s="56" t="n">
        <v>1</v>
      </c>
      <c r="S8" s="57"/>
      <c r="T8" s="58" t="n">
        <f aca="false">$D8*E8</f>
        <v>0</v>
      </c>
      <c r="U8" s="58" t="n">
        <f aca="false">$D8*F8</f>
        <v>83.06</v>
      </c>
      <c r="V8" s="58" t="n">
        <f aca="false">$D8*G8</f>
        <v>0</v>
      </c>
      <c r="W8" s="58" t="n">
        <f aca="false">$D8*H8</f>
        <v>83.06</v>
      </c>
      <c r="X8" s="58" t="n">
        <f aca="false">$D8*I8</f>
        <v>0</v>
      </c>
      <c r="Y8" s="58" t="n">
        <f aca="false">$D8*J8</f>
        <v>83.06</v>
      </c>
      <c r="Z8" s="58" t="n">
        <f aca="false">$D8*K8</f>
        <v>0</v>
      </c>
      <c r="AA8" s="58" t="n">
        <f aca="false">$D8*L8</f>
        <v>83.06</v>
      </c>
      <c r="AB8" s="58" t="n">
        <f aca="false">$D8*M8</f>
        <v>0</v>
      </c>
      <c r="AC8" s="58" t="n">
        <f aca="false">$D8*N8</f>
        <v>83.06</v>
      </c>
      <c r="AD8" s="58" t="n">
        <f aca="false">$D8*O8</f>
        <v>0</v>
      </c>
      <c r="AE8" s="58" t="n">
        <f aca="false">$D8*P8</f>
        <v>83.06</v>
      </c>
      <c r="AF8" s="58" t="n">
        <f aca="false">$D8*Q8</f>
        <v>0</v>
      </c>
      <c r="AG8" s="58" t="n">
        <f aca="false">$D8*R8</f>
        <v>83.06</v>
      </c>
      <c r="AH8" s="58" t="n">
        <f aca="false">$D8*S8</f>
        <v>0</v>
      </c>
      <c r="AI8" s="59" t="n">
        <f aca="false">AJ8/$AI$2</f>
        <v>0.0366318044354839</v>
      </c>
      <c r="AJ8" s="58" t="n">
        <f aca="false">SUM(T8:AH8)</f>
        <v>581.42</v>
      </c>
    </row>
    <row r="9" customFormat="false" ht="15" hidden="false" customHeight="false" outlineLevel="0" collapsed="false">
      <c r="A9" s="60" t="n">
        <v>6</v>
      </c>
      <c r="B9" s="61" t="s">
        <v>101</v>
      </c>
      <c r="C9" s="62" t="s">
        <v>102</v>
      </c>
      <c r="D9" s="63" t="n">
        <f aca="false">VLOOKUP(C9,'[1]PREÇO ATUAL'!$A$1:$D$1048576,4,0)</f>
        <v>139.9</v>
      </c>
      <c r="E9" s="64"/>
      <c r="F9" s="64"/>
      <c r="G9" s="64"/>
      <c r="H9" s="64"/>
      <c r="I9" s="65"/>
      <c r="J9" s="65" t="n">
        <v>1</v>
      </c>
      <c r="K9" s="65"/>
      <c r="L9" s="65"/>
      <c r="M9" s="65"/>
      <c r="N9" s="65"/>
      <c r="O9" s="65"/>
      <c r="P9" s="65" t="n">
        <v>1</v>
      </c>
      <c r="Q9" s="65"/>
      <c r="R9" s="65"/>
      <c r="S9" s="65"/>
      <c r="T9" s="66" t="n">
        <f aca="false">$D9*E9</f>
        <v>0</v>
      </c>
      <c r="U9" s="66" t="n">
        <f aca="false">$D9*F9</f>
        <v>0</v>
      </c>
      <c r="V9" s="66" t="n">
        <f aca="false">$D9*G9</f>
        <v>0</v>
      </c>
      <c r="W9" s="66" t="n">
        <f aca="false">$D9*H9</f>
        <v>0</v>
      </c>
      <c r="X9" s="66" t="n">
        <f aca="false">$D9*I9</f>
        <v>0</v>
      </c>
      <c r="Y9" s="66" t="n">
        <f aca="false">$D9*J9</f>
        <v>139.9</v>
      </c>
      <c r="Z9" s="66" t="n">
        <f aca="false">$D9*K9</f>
        <v>0</v>
      </c>
      <c r="AA9" s="66" t="n">
        <f aca="false">$D9*L9</f>
        <v>0</v>
      </c>
      <c r="AB9" s="66" t="n">
        <f aca="false">$D9*M9</f>
        <v>0</v>
      </c>
      <c r="AC9" s="66" t="n">
        <f aca="false">$D9*N9</f>
        <v>0</v>
      </c>
      <c r="AD9" s="66" t="n">
        <f aca="false">$D9*O9</f>
        <v>0</v>
      </c>
      <c r="AE9" s="66" t="n">
        <f aca="false">$D9*P9</f>
        <v>139.9</v>
      </c>
      <c r="AF9" s="66" t="n">
        <f aca="false">$D9*Q9</f>
        <v>0</v>
      </c>
      <c r="AG9" s="66" t="n">
        <f aca="false">$D9*R9</f>
        <v>0</v>
      </c>
      <c r="AH9" s="66" t="n">
        <f aca="false">$D9*S9</f>
        <v>0</v>
      </c>
      <c r="AI9" s="67" t="n">
        <f aca="false">AJ9/$AI$2</f>
        <v>0.0176285282258065</v>
      </c>
      <c r="AJ9" s="66" t="n">
        <f aca="false">SUM(T9:AH9)</f>
        <v>279.8</v>
      </c>
    </row>
    <row r="10" customFormat="false" ht="15" hidden="false" customHeight="false" outlineLevel="0" collapsed="false">
      <c r="A10" s="52" t="n">
        <v>7</v>
      </c>
      <c r="B10" s="53" t="s">
        <v>103</v>
      </c>
      <c r="C10" s="54" t="s">
        <v>104</v>
      </c>
      <c r="D10" s="55" t="n">
        <f aca="false">VLOOKUP(C10,'[1]PREÇO ATUAL'!$A$1:$D$1048576,4,0)</f>
        <v>25.55</v>
      </c>
      <c r="E10" s="56"/>
      <c r="F10" s="56"/>
      <c r="G10" s="56"/>
      <c r="H10" s="56"/>
      <c r="I10" s="57"/>
      <c r="J10" s="57" t="n">
        <v>1</v>
      </c>
      <c r="K10" s="57"/>
      <c r="L10" s="57"/>
      <c r="M10" s="57"/>
      <c r="N10" s="57"/>
      <c r="O10" s="57"/>
      <c r="P10" s="57"/>
      <c r="Q10" s="57"/>
      <c r="R10" s="57"/>
      <c r="S10" s="57"/>
      <c r="T10" s="58" t="n">
        <f aca="false">$D10*E10</f>
        <v>0</v>
      </c>
      <c r="U10" s="58" t="n">
        <f aca="false">$D10*F10</f>
        <v>0</v>
      </c>
      <c r="V10" s="58" t="n">
        <f aca="false">$D10*G10</f>
        <v>0</v>
      </c>
      <c r="W10" s="58" t="n">
        <f aca="false">$D10*H10</f>
        <v>0</v>
      </c>
      <c r="X10" s="58" t="n">
        <f aca="false">$D10*I10</f>
        <v>0</v>
      </c>
      <c r="Y10" s="58" t="n">
        <f aca="false">$D10*J10</f>
        <v>25.55</v>
      </c>
      <c r="Z10" s="58" t="n">
        <f aca="false">$D10*K10</f>
        <v>0</v>
      </c>
      <c r="AA10" s="58" t="n">
        <f aca="false">$D10*L10</f>
        <v>0</v>
      </c>
      <c r="AB10" s="58" t="n">
        <f aca="false">$D10*M10</f>
        <v>0</v>
      </c>
      <c r="AC10" s="58" t="n">
        <f aca="false">$D10*N10</f>
        <v>0</v>
      </c>
      <c r="AD10" s="58" t="n">
        <f aca="false">$D10*O10</f>
        <v>0</v>
      </c>
      <c r="AE10" s="58" t="n">
        <f aca="false">$D10*P10</f>
        <v>0</v>
      </c>
      <c r="AF10" s="58" t="n">
        <f aca="false">$D10*Q10</f>
        <v>0</v>
      </c>
      <c r="AG10" s="58" t="n">
        <f aca="false">$D10*R10</f>
        <v>0</v>
      </c>
      <c r="AH10" s="58" t="n">
        <f aca="false">$D10*S10</f>
        <v>0</v>
      </c>
      <c r="AI10" s="59" t="n">
        <f aca="false">AJ10/$AI$2</f>
        <v>0.00160975302419355</v>
      </c>
      <c r="AJ10" s="58" t="n">
        <f aca="false">SUM(T10:AH10)</f>
        <v>25.55</v>
      </c>
    </row>
    <row r="11" customFormat="false" ht="15" hidden="false" customHeight="false" outlineLevel="0" collapsed="false">
      <c r="A11" s="60" t="n">
        <v>8</v>
      </c>
      <c r="B11" s="61" t="s">
        <v>89</v>
      </c>
      <c r="C11" s="62" t="s">
        <v>90</v>
      </c>
      <c r="D11" s="63" t="n">
        <f aca="false">VLOOKUP(C11,'[1]PREÇO ATUAL'!$A$1:$D$1048576,4,0)</f>
        <v>75.7</v>
      </c>
      <c r="E11" s="70" t="n">
        <v>2.7</v>
      </c>
      <c r="F11" s="70" t="n">
        <v>2.7</v>
      </c>
      <c r="G11" s="70" t="n">
        <v>2.7</v>
      </c>
      <c r="H11" s="70" t="n">
        <v>2.7</v>
      </c>
      <c r="I11" s="63" t="n">
        <v>2.7</v>
      </c>
      <c r="J11" s="63" t="n">
        <v>2.7</v>
      </c>
      <c r="K11" s="63" t="n">
        <v>2.7</v>
      </c>
      <c r="L11" s="63" t="n">
        <v>2.7</v>
      </c>
      <c r="M11" s="63" t="n">
        <v>2.7</v>
      </c>
      <c r="N11" s="63" t="n">
        <v>2.7</v>
      </c>
      <c r="O11" s="63" t="n">
        <v>2.7</v>
      </c>
      <c r="P11" s="63" t="n">
        <v>2.7</v>
      </c>
      <c r="Q11" s="63" t="n">
        <v>2.7</v>
      </c>
      <c r="R11" s="63" t="n">
        <v>2.7</v>
      </c>
      <c r="S11" s="63" t="n">
        <v>2.7</v>
      </c>
      <c r="T11" s="66" t="n">
        <f aca="false">$D11*E11</f>
        <v>204.39</v>
      </c>
      <c r="U11" s="66" t="n">
        <f aca="false">$D11*F11</f>
        <v>204.39</v>
      </c>
      <c r="V11" s="66" t="n">
        <f aca="false">$D11*G11</f>
        <v>204.39</v>
      </c>
      <c r="W11" s="66" t="n">
        <f aca="false">$D11*H11</f>
        <v>204.39</v>
      </c>
      <c r="X11" s="66" t="n">
        <f aca="false">$D11*I11</f>
        <v>204.39</v>
      </c>
      <c r="Y11" s="66" t="n">
        <f aca="false">$D11*J11</f>
        <v>204.39</v>
      </c>
      <c r="Z11" s="66" t="n">
        <f aca="false">$D11*K11</f>
        <v>204.39</v>
      </c>
      <c r="AA11" s="66" t="n">
        <f aca="false">$D11*L11</f>
        <v>204.39</v>
      </c>
      <c r="AB11" s="66" t="n">
        <f aca="false">$D11*M11</f>
        <v>204.39</v>
      </c>
      <c r="AC11" s="66" t="n">
        <f aca="false">$D11*N11</f>
        <v>204.39</v>
      </c>
      <c r="AD11" s="66" t="n">
        <f aca="false">$D11*O11</f>
        <v>204.39</v>
      </c>
      <c r="AE11" s="66" t="n">
        <f aca="false">$D11*P11</f>
        <v>204.39</v>
      </c>
      <c r="AF11" s="66" t="n">
        <f aca="false">$D11*Q11</f>
        <v>204.39</v>
      </c>
      <c r="AG11" s="66" t="n">
        <f aca="false">$D11*R11</f>
        <v>204.39</v>
      </c>
      <c r="AH11" s="66" t="n">
        <f aca="false">$D11*S11</f>
        <v>204.39</v>
      </c>
      <c r="AI11" s="67" t="n">
        <f aca="false">AJ11/$AI$2</f>
        <v>0.193160912298387</v>
      </c>
      <c r="AJ11" s="66" t="n">
        <f aca="false">SUM(T11:AH11)</f>
        <v>3065.85</v>
      </c>
      <c r="AP11" s="71"/>
    </row>
    <row r="12" customFormat="false" ht="15" hidden="false" customHeight="false" outlineLevel="0" collapsed="false">
      <c r="A12" s="52" t="n">
        <v>9</v>
      </c>
      <c r="B12" s="53" t="s">
        <v>60</v>
      </c>
      <c r="C12" s="54" t="s">
        <v>61</v>
      </c>
      <c r="D12" s="55" t="n">
        <f aca="false">VLOOKUP(C12,'[1]PREÇO ATUAL'!$A$1:$D$1048576,4,0)</f>
        <v>33.6224930838505</v>
      </c>
      <c r="E12" s="56"/>
      <c r="F12" s="56"/>
      <c r="G12" s="56"/>
      <c r="H12" s="56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8" t="n">
        <f aca="false">$D12*E12</f>
        <v>0</v>
      </c>
      <c r="U12" s="58" t="n">
        <f aca="false">$D12*F12</f>
        <v>0</v>
      </c>
      <c r="V12" s="58" t="n">
        <f aca="false">$D12*G12</f>
        <v>0</v>
      </c>
      <c r="W12" s="58" t="n">
        <f aca="false">$D12*H12</f>
        <v>0</v>
      </c>
      <c r="X12" s="58" t="n">
        <f aca="false">$D12*I12</f>
        <v>0</v>
      </c>
      <c r="Y12" s="58" t="n">
        <f aca="false">$D12*J12</f>
        <v>0</v>
      </c>
      <c r="Z12" s="58" t="n">
        <f aca="false">$D12*K12</f>
        <v>0</v>
      </c>
      <c r="AA12" s="58" t="n">
        <f aca="false">$D12*L12</f>
        <v>0</v>
      </c>
      <c r="AB12" s="58" t="n">
        <f aca="false">$D12*M12</f>
        <v>0</v>
      </c>
      <c r="AC12" s="58" t="n">
        <f aca="false">$D12*N12</f>
        <v>0</v>
      </c>
      <c r="AD12" s="58" t="n">
        <f aca="false">$D12*O12</f>
        <v>0</v>
      </c>
      <c r="AE12" s="58" t="n">
        <f aca="false">$D12*P12</f>
        <v>0</v>
      </c>
      <c r="AF12" s="58" t="n">
        <f aca="false">$D12*Q12</f>
        <v>0</v>
      </c>
      <c r="AG12" s="58" t="n">
        <f aca="false">$D12*R12</f>
        <v>0</v>
      </c>
      <c r="AH12" s="58" t="n">
        <f aca="false">$D12*S12</f>
        <v>0</v>
      </c>
      <c r="AI12" s="59" t="n">
        <f aca="false">AJ12/$AI$2</f>
        <v>0</v>
      </c>
      <c r="AJ12" s="58" t="n">
        <f aca="false">SUM(T12:AH12)</f>
        <v>0</v>
      </c>
      <c r="AP12" s="71"/>
    </row>
    <row r="13" customFormat="false" ht="15" hidden="false" customHeight="false" outlineLevel="0" collapsed="false">
      <c r="A13" s="60" t="n">
        <v>10</v>
      </c>
      <c r="B13" s="61" t="s">
        <v>64</v>
      </c>
      <c r="C13" s="62" t="s">
        <v>65</v>
      </c>
      <c r="D13" s="63" t="n">
        <f aca="false">VLOOKUP(C13,'[1]PREÇO ATUAL'!$A$1:$D$1048576,4,0)</f>
        <v>342</v>
      </c>
      <c r="E13" s="82" t="n">
        <v>0.95</v>
      </c>
      <c r="F13" s="82" t="n">
        <v>1.2</v>
      </c>
      <c r="G13" s="82" t="n">
        <v>2.1</v>
      </c>
      <c r="H13" s="82" t="n">
        <v>1.5</v>
      </c>
      <c r="I13" s="83" t="n">
        <v>1.15</v>
      </c>
      <c r="J13" s="83" t="n">
        <v>4.4</v>
      </c>
      <c r="K13" s="83" t="n">
        <v>0.95</v>
      </c>
      <c r="L13" s="83" t="n">
        <v>1.5</v>
      </c>
      <c r="M13" s="83" t="n">
        <v>2.1</v>
      </c>
      <c r="N13" s="83" t="n">
        <v>1.55</v>
      </c>
      <c r="O13" s="63" t="s">
        <v>147</v>
      </c>
      <c r="P13" s="63" t="n">
        <v>4.95</v>
      </c>
      <c r="Q13" s="63" t="s">
        <v>147</v>
      </c>
      <c r="R13" s="63" t="s">
        <v>148</v>
      </c>
      <c r="S13" s="63" t="s">
        <v>149</v>
      </c>
      <c r="T13" s="66" t="n">
        <f aca="false">D13*E13</f>
        <v>324.9</v>
      </c>
      <c r="U13" s="66" t="n">
        <f aca="false">$D13*F13</f>
        <v>410.4</v>
      </c>
      <c r="V13" s="66" t="n">
        <f aca="false">$D13*G13</f>
        <v>718.2</v>
      </c>
      <c r="W13" s="66" t="n">
        <f aca="false">$D13*H13</f>
        <v>513</v>
      </c>
      <c r="X13" s="66" t="n">
        <f aca="false">$D13*I13</f>
        <v>393.3</v>
      </c>
      <c r="Y13" s="66" t="n">
        <f aca="false">$D13*J13</f>
        <v>1504.8</v>
      </c>
      <c r="Z13" s="66" t="n">
        <f aca="false">$D13*K13</f>
        <v>324.9</v>
      </c>
      <c r="AA13" s="66" t="n">
        <f aca="false">$D13*L13</f>
        <v>513</v>
      </c>
      <c r="AB13" s="66" t="n">
        <f aca="false">$D13*M13</f>
        <v>718.2</v>
      </c>
      <c r="AC13" s="66" t="n">
        <f aca="false">$D13*N13</f>
        <v>530.1</v>
      </c>
      <c r="AD13" s="66" t="n">
        <f aca="false">$D13*O13</f>
        <v>324.9</v>
      </c>
      <c r="AE13" s="66" t="n">
        <f aca="false">$D13*P13</f>
        <v>1692.9</v>
      </c>
      <c r="AF13" s="66" t="n">
        <f aca="false">$D13*Q13</f>
        <v>324.9</v>
      </c>
      <c r="AG13" s="66" t="n">
        <f aca="false">$D13*R13</f>
        <v>410.4</v>
      </c>
      <c r="AH13" s="66" t="n">
        <f aca="false">$D13*S13</f>
        <v>786.6</v>
      </c>
      <c r="AI13" s="67" t="n">
        <f aca="false">AJ13/$AI$2</f>
        <v>0.597939768145161</v>
      </c>
      <c r="AJ13" s="66" t="n">
        <f aca="false">SUM(T13:AH13)</f>
        <v>9490.5</v>
      </c>
    </row>
    <row r="15" customFormat="false" ht="15" hidden="false" customHeight="true" outlineLevel="0" collapsed="false">
      <c r="A15" s="89" t="s">
        <v>150</v>
      </c>
      <c r="B15" s="89"/>
      <c r="C15" s="89"/>
      <c r="D15" s="89"/>
      <c r="E15" s="35" t="s">
        <v>29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6" t="s">
        <v>30</v>
      </c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7" t="s">
        <v>31</v>
      </c>
      <c r="AJ15" s="37"/>
    </row>
    <row r="16" customFormat="false" ht="15" hidden="false" customHeight="false" outlineLevel="0" collapsed="false">
      <c r="A16" s="89"/>
      <c r="B16" s="89"/>
      <c r="C16" s="89"/>
      <c r="D16" s="89"/>
      <c r="E16" s="41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3" t="n">
        <f aca="false">MROUND(SUM(T18:T28),1)</f>
        <v>532</v>
      </c>
      <c r="U16" s="43" t="n">
        <f aca="false">MROUND(SUM(U18:U28),1)</f>
        <v>719</v>
      </c>
      <c r="V16" s="43" t="n">
        <f aca="false">MROUND(SUM(V18:V28),1)</f>
        <v>1127</v>
      </c>
      <c r="W16" s="43" t="n">
        <f aca="false">MROUND(SUM(W18:W28),1)</f>
        <v>925</v>
      </c>
      <c r="X16" s="43" t="n">
        <f aca="false">MROUND(SUM(X18:X28),1)</f>
        <v>583</v>
      </c>
      <c r="Y16" s="43" t="n">
        <f aca="false">MROUND(SUM(Y18:Y28),1)</f>
        <v>2266</v>
      </c>
      <c r="Z16" s="43" t="n">
        <f aca="false">MROUND(SUM(Z18:Z28),1)</f>
        <v>532</v>
      </c>
      <c r="AA16" s="43" t="n">
        <f aca="false">MROUND(SUM(AA18:AA28),1)</f>
        <v>771</v>
      </c>
      <c r="AB16" s="43" t="n">
        <f aca="false">MROUND(SUM(AB18:AB28),1)</f>
        <v>1127</v>
      </c>
      <c r="AC16" s="43" t="n">
        <f aca="false">MROUND(SUM(AC18:AC28),1)</f>
        <v>925</v>
      </c>
      <c r="AD16" s="43" t="n">
        <f aca="false">MROUND(SUM(AD18:AD28),1)</f>
        <v>600</v>
      </c>
      <c r="AE16" s="43" t="n">
        <f aca="false">MROUND(SUM(AE18:AE28),1)</f>
        <v>2706</v>
      </c>
      <c r="AF16" s="43" t="n">
        <f aca="false">MROUND(SUM(AF18:AF28),1)</f>
        <v>600</v>
      </c>
      <c r="AG16" s="43" t="n">
        <f aca="false">MROUND(SUM(AG18:AG28),1)</f>
        <v>805</v>
      </c>
      <c r="AH16" s="43" t="n">
        <f aca="false">MROUND(SUM(AH18:AH28),1)</f>
        <v>1230</v>
      </c>
      <c r="AI16" s="44" t="n">
        <f aca="false">SUM(T16:AH16)</f>
        <v>15448</v>
      </c>
      <c r="AJ16" s="44"/>
    </row>
    <row r="17" customFormat="false" ht="15" hidden="false" customHeight="false" outlineLevel="0" collapsed="false">
      <c r="A17" s="45" t="s">
        <v>32</v>
      </c>
      <c r="B17" s="45" t="s">
        <v>33</v>
      </c>
      <c r="C17" s="46" t="s">
        <v>34</v>
      </c>
      <c r="D17" s="47" t="s">
        <v>35</v>
      </c>
      <c r="E17" s="48" t="s">
        <v>36</v>
      </c>
      <c r="F17" s="48" t="s">
        <v>37</v>
      </c>
      <c r="G17" s="48" t="s">
        <v>38</v>
      </c>
      <c r="H17" s="48" t="s">
        <v>39</v>
      </c>
      <c r="I17" s="48" t="s">
        <v>40</v>
      </c>
      <c r="J17" s="48" t="s">
        <v>41</v>
      </c>
      <c r="K17" s="48" t="s">
        <v>42</v>
      </c>
      <c r="L17" s="48" t="s">
        <v>43</v>
      </c>
      <c r="M17" s="48" t="s">
        <v>44</v>
      </c>
      <c r="N17" s="48" t="s">
        <v>45</v>
      </c>
      <c r="O17" s="48" t="s">
        <v>142</v>
      </c>
      <c r="P17" s="48" t="s">
        <v>143</v>
      </c>
      <c r="Q17" s="48" t="s">
        <v>144</v>
      </c>
      <c r="R17" s="48" t="s">
        <v>145</v>
      </c>
      <c r="S17" s="48" t="s">
        <v>146</v>
      </c>
      <c r="T17" s="48" t="n">
        <v>10000</v>
      </c>
      <c r="U17" s="48" t="n">
        <v>20000</v>
      </c>
      <c r="V17" s="48" t="n">
        <v>30000</v>
      </c>
      <c r="W17" s="48" t="n">
        <v>40000</v>
      </c>
      <c r="X17" s="48" t="n">
        <v>50000</v>
      </c>
      <c r="Y17" s="48" t="n">
        <v>60000</v>
      </c>
      <c r="Z17" s="48" t="n">
        <v>70000</v>
      </c>
      <c r="AA17" s="48" t="n">
        <v>80000</v>
      </c>
      <c r="AB17" s="48" t="n">
        <v>90000</v>
      </c>
      <c r="AC17" s="48" t="n">
        <v>100000</v>
      </c>
      <c r="AD17" s="48" t="n">
        <f aca="false">AC17+10000</f>
        <v>110000</v>
      </c>
      <c r="AE17" s="48" t="n">
        <f aca="false">AD17+10000</f>
        <v>120000</v>
      </c>
      <c r="AF17" s="48" t="n">
        <f aca="false">AE17+10000</f>
        <v>130000</v>
      </c>
      <c r="AG17" s="48" t="n">
        <f aca="false">AF17+10000</f>
        <v>140000</v>
      </c>
      <c r="AH17" s="48" t="n">
        <f aca="false">AG17+10000</f>
        <v>150000</v>
      </c>
      <c r="AI17" s="51" t="s">
        <v>46</v>
      </c>
      <c r="AJ17" s="45" t="s">
        <v>47</v>
      </c>
    </row>
    <row r="18" customFormat="false" ht="15" hidden="false" customHeight="false" outlineLevel="0" collapsed="false">
      <c r="A18" s="52" t="n">
        <v>1</v>
      </c>
      <c r="B18" s="53" t="s">
        <v>96</v>
      </c>
      <c r="C18" s="54" t="s">
        <v>97</v>
      </c>
      <c r="D18" s="55" t="n">
        <f aca="false">VLOOKUP(C18,'[1]PREÇO ATUAL'!$A$1:$D$1048576,4,0)</f>
        <v>71.2</v>
      </c>
      <c r="E18" s="56" t="n">
        <v>1</v>
      </c>
      <c r="F18" s="56" t="n">
        <v>1</v>
      </c>
      <c r="G18" s="56" t="n">
        <v>1</v>
      </c>
      <c r="H18" s="56" t="n">
        <v>1</v>
      </c>
      <c r="I18" s="57" t="n">
        <v>1</v>
      </c>
      <c r="J18" s="57" t="n">
        <v>1</v>
      </c>
      <c r="K18" s="57" t="n">
        <v>1</v>
      </c>
      <c r="L18" s="57" t="n">
        <v>1</v>
      </c>
      <c r="M18" s="57" t="n">
        <v>1</v>
      </c>
      <c r="N18" s="96" t="n">
        <v>1</v>
      </c>
      <c r="O18" s="57" t="n">
        <v>1</v>
      </c>
      <c r="P18" s="57" t="n">
        <v>1</v>
      </c>
      <c r="Q18" s="57" t="n">
        <v>1</v>
      </c>
      <c r="R18" s="56" t="n">
        <v>1</v>
      </c>
      <c r="S18" s="57" t="n">
        <v>1</v>
      </c>
      <c r="T18" s="58" t="n">
        <f aca="false">$D18*E18</f>
        <v>71.2</v>
      </c>
      <c r="U18" s="58" t="n">
        <f aca="false">$D18*F18</f>
        <v>71.2</v>
      </c>
      <c r="V18" s="58" t="n">
        <f aca="false">$D18*G18</f>
        <v>71.2</v>
      </c>
      <c r="W18" s="58" t="n">
        <f aca="false">$D18*H18</f>
        <v>71.2</v>
      </c>
      <c r="X18" s="58" t="n">
        <f aca="false">$D18*I18</f>
        <v>71.2</v>
      </c>
      <c r="Y18" s="58" t="n">
        <f aca="false">$D18*J18</f>
        <v>71.2</v>
      </c>
      <c r="Z18" s="58" t="n">
        <f aca="false">$D18*K18</f>
        <v>71.2</v>
      </c>
      <c r="AA18" s="58" t="n">
        <f aca="false">$D18*L18</f>
        <v>71.2</v>
      </c>
      <c r="AB18" s="58" t="n">
        <f aca="false">$D18*M18</f>
        <v>71.2</v>
      </c>
      <c r="AC18" s="58" t="n">
        <f aca="false">$D18*N18</f>
        <v>71.2</v>
      </c>
      <c r="AD18" s="58" t="n">
        <f aca="false">$D18*O18</f>
        <v>71.2</v>
      </c>
      <c r="AE18" s="58" t="n">
        <f aca="false">$D18*P18</f>
        <v>71.2</v>
      </c>
      <c r="AF18" s="58" t="n">
        <f aca="false">$D18*Q18</f>
        <v>71.2</v>
      </c>
      <c r="AG18" s="58" t="n">
        <f aca="false">$D18*R18</f>
        <v>71.2</v>
      </c>
      <c r="AH18" s="58" t="n">
        <f aca="false">$D18*S18</f>
        <v>71.2</v>
      </c>
      <c r="AI18" s="59" t="n">
        <f aca="false">AJ18/$AI$16</f>
        <v>0.069135163127913</v>
      </c>
      <c r="AJ18" s="58" t="n">
        <f aca="false">SUM(T18:AH18)</f>
        <v>1068</v>
      </c>
    </row>
    <row r="19" customFormat="false" ht="15" hidden="false" customHeight="false" outlineLevel="0" collapsed="false">
      <c r="A19" s="60" t="n">
        <v>2</v>
      </c>
      <c r="B19" s="61" t="s">
        <v>98</v>
      </c>
      <c r="C19" s="62" t="s">
        <v>51</v>
      </c>
      <c r="D19" s="63" t="n">
        <f aca="false">VLOOKUP(C19,'[1]PREÇO ATUAL'!$A$1:$D$1048576,4,0)</f>
        <v>35.9</v>
      </c>
      <c r="E19" s="64"/>
      <c r="F19" s="64" t="n">
        <v>1</v>
      </c>
      <c r="G19" s="64"/>
      <c r="H19" s="64" t="n">
        <v>1</v>
      </c>
      <c r="I19" s="65"/>
      <c r="J19" s="65" t="n">
        <v>1</v>
      </c>
      <c r="K19" s="65"/>
      <c r="L19" s="65" t="n">
        <v>1</v>
      </c>
      <c r="M19" s="65"/>
      <c r="N19" s="97" t="n">
        <v>1</v>
      </c>
      <c r="O19" s="65"/>
      <c r="P19" s="65" t="n">
        <v>1</v>
      </c>
      <c r="Q19" s="65"/>
      <c r="R19" s="64" t="n">
        <v>1</v>
      </c>
      <c r="S19" s="65"/>
      <c r="T19" s="66" t="n">
        <f aca="false">$D19*E19</f>
        <v>0</v>
      </c>
      <c r="U19" s="66" t="n">
        <f aca="false">$D19*F19</f>
        <v>35.9</v>
      </c>
      <c r="V19" s="66" t="n">
        <f aca="false">$D19*G19</f>
        <v>0</v>
      </c>
      <c r="W19" s="66" t="n">
        <f aca="false">$D19*H19</f>
        <v>35.9</v>
      </c>
      <c r="X19" s="66" t="n">
        <f aca="false">$D19*I19</f>
        <v>0</v>
      </c>
      <c r="Y19" s="66" t="n">
        <f aca="false">$D19*J19</f>
        <v>35.9</v>
      </c>
      <c r="Z19" s="66" t="n">
        <f aca="false">$D19*K19</f>
        <v>0</v>
      </c>
      <c r="AA19" s="66" t="n">
        <f aca="false">$D19*L19</f>
        <v>35.9</v>
      </c>
      <c r="AB19" s="66" t="n">
        <f aca="false">$D19*M19</f>
        <v>0</v>
      </c>
      <c r="AC19" s="66" t="n">
        <f aca="false">$D19*N19</f>
        <v>35.9</v>
      </c>
      <c r="AD19" s="66" t="n">
        <f aca="false">$D19*O19</f>
        <v>0</v>
      </c>
      <c r="AE19" s="66" t="n">
        <f aca="false">$D19*P19</f>
        <v>35.9</v>
      </c>
      <c r="AF19" s="66" t="n">
        <f aca="false">$D19*Q19</f>
        <v>0</v>
      </c>
      <c r="AG19" s="66" t="n">
        <f aca="false">$D19*R19</f>
        <v>35.9</v>
      </c>
      <c r="AH19" s="66" t="n">
        <f aca="false">$D19*S19</f>
        <v>0</v>
      </c>
      <c r="AI19" s="67" t="n">
        <f aca="false">AJ19/$AI$16</f>
        <v>0.0162674779906784</v>
      </c>
      <c r="AJ19" s="66" t="n">
        <f aca="false">SUM(T19:AH19)</f>
        <v>251.3</v>
      </c>
    </row>
    <row r="20" customFormat="false" ht="15" hidden="false" customHeight="false" outlineLevel="0" collapsed="false">
      <c r="A20" s="52" t="n">
        <v>3</v>
      </c>
      <c r="B20" s="53" t="s">
        <v>99</v>
      </c>
      <c r="C20" s="54" t="s">
        <v>100</v>
      </c>
      <c r="D20" s="55" t="n">
        <f aca="false">VLOOKUP(C20,'[1]PREÇO ATUAL'!$A$1:$D$1048576,4,0)</f>
        <v>83.06</v>
      </c>
      <c r="E20" s="56"/>
      <c r="F20" s="56" t="n">
        <v>1</v>
      </c>
      <c r="G20" s="56"/>
      <c r="H20" s="56" t="n">
        <v>1</v>
      </c>
      <c r="I20" s="57"/>
      <c r="J20" s="57" t="n">
        <v>1</v>
      </c>
      <c r="K20" s="57"/>
      <c r="L20" s="57" t="n">
        <v>1</v>
      </c>
      <c r="M20" s="57"/>
      <c r="N20" s="96" t="n">
        <v>1</v>
      </c>
      <c r="O20" s="57"/>
      <c r="P20" s="57" t="n">
        <v>1</v>
      </c>
      <c r="Q20" s="57"/>
      <c r="R20" s="56" t="n">
        <v>1</v>
      </c>
      <c r="S20" s="57"/>
      <c r="T20" s="58" t="n">
        <f aca="false">$D20*E20</f>
        <v>0</v>
      </c>
      <c r="U20" s="58" t="n">
        <f aca="false">$D20*F20</f>
        <v>83.06</v>
      </c>
      <c r="V20" s="58" t="n">
        <f aca="false">$D20*G20</f>
        <v>0</v>
      </c>
      <c r="W20" s="58" t="n">
        <f aca="false">$D20*H20</f>
        <v>83.06</v>
      </c>
      <c r="X20" s="58" t="n">
        <f aca="false">$D20*I20</f>
        <v>0</v>
      </c>
      <c r="Y20" s="58" t="n">
        <f aca="false">$D20*J20</f>
        <v>83.06</v>
      </c>
      <c r="Z20" s="58" t="n">
        <f aca="false">$D20*K20</f>
        <v>0</v>
      </c>
      <c r="AA20" s="58" t="n">
        <f aca="false">$D20*L20</f>
        <v>83.06</v>
      </c>
      <c r="AB20" s="58" t="n">
        <f aca="false">$D20*M20</f>
        <v>0</v>
      </c>
      <c r="AC20" s="58" t="n">
        <f aca="false">$D20*N20</f>
        <v>83.06</v>
      </c>
      <c r="AD20" s="58" t="n">
        <f aca="false">$D20*O20</f>
        <v>0</v>
      </c>
      <c r="AE20" s="58" t="n">
        <f aca="false">$D20*P20</f>
        <v>83.06</v>
      </c>
      <c r="AF20" s="58" t="n">
        <f aca="false">$D20*Q20</f>
        <v>0</v>
      </c>
      <c r="AG20" s="58" t="n">
        <f aca="false">$D20*R20</f>
        <v>83.06</v>
      </c>
      <c r="AH20" s="58" t="n">
        <f aca="false">$D20*S20</f>
        <v>0</v>
      </c>
      <c r="AI20" s="59" t="n">
        <f aca="false">AJ20/$AI$16</f>
        <v>0.0376372345934749</v>
      </c>
      <c r="AJ20" s="58" t="n">
        <f aca="false">SUM(T20:AH20)</f>
        <v>581.42</v>
      </c>
    </row>
    <row r="21" customFormat="false" ht="15" hidden="false" customHeight="false" outlineLevel="0" collapsed="false">
      <c r="A21" s="60" t="n">
        <v>4</v>
      </c>
      <c r="B21" s="61" t="s">
        <v>92</v>
      </c>
      <c r="C21" s="62" t="s">
        <v>121</v>
      </c>
      <c r="D21" s="63" t="n">
        <f aca="false">VLOOKUP(C21,'[1]PREÇO ATUAL'!$A$1:$D$1048576,4,0)</f>
        <v>41.9</v>
      </c>
      <c r="E21" s="64"/>
      <c r="F21" s="64"/>
      <c r="G21" s="64" t="n">
        <v>4</v>
      </c>
      <c r="H21" s="64"/>
      <c r="I21" s="65"/>
      <c r="J21" s="65" t="n">
        <v>4</v>
      </c>
      <c r="K21" s="65"/>
      <c r="L21" s="65"/>
      <c r="M21" s="65" t="n">
        <v>4</v>
      </c>
      <c r="N21" s="97"/>
      <c r="O21" s="65"/>
      <c r="P21" s="65" t="n">
        <v>4</v>
      </c>
      <c r="Q21" s="65"/>
      <c r="R21" s="65"/>
      <c r="S21" s="65" t="n">
        <v>4</v>
      </c>
      <c r="T21" s="66" t="n">
        <f aca="false">$D21*E21</f>
        <v>0</v>
      </c>
      <c r="U21" s="66" t="n">
        <f aca="false">$D21*F21</f>
        <v>0</v>
      </c>
      <c r="V21" s="66" t="n">
        <f aca="false">$D21*G21</f>
        <v>167.6</v>
      </c>
      <c r="W21" s="66" t="n">
        <f aca="false">$D21*H21</f>
        <v>0</v>
      </c>
      <c r="X21" s="66" t="n">
        <f aca="false">$D21*I21</f>
        <v>0</v>
      </c>
      <c r="Y21" s="66" t="n">
        <f aca="false">$D21*J21</f>
        <v>167.6</v>
      </c>
      <c r="Z21" s="66" t="n">
        <f aca="false">$D21*K21</f>
        <v>0</v>
      </c>
      <c r="AA21" s="66" t="n">
        <f aca="false">$D21*L21</f>
        <v>0</v>
      </c>
      <c r="AB21" s="66" t="n">
        <f aca="false">$D21*M21</f>
        <v>167.6</v>
      </c>
      <c r="AC21" s="66" t="n">
        <f aca="false">$D21*N21</f>
        <v>0</v>
      </c>
      <c r="AD21" s="66" t="n">
        <f aca="false">$D21*O21</f>
        <v>0</v>
      </c>
      <c r="AE21" s="66" t="n">
        <f aca="false">$D21*P21</f>
        <v>167.6</v>
      </c>
      <c r="AF21" s="66" t="n">
        <f aca="false">$D21*Q21</f>
        <v>0</v>
      </c>
      <c r="AG21" s="66" t="n">
        <f aca="false">$D21*R21</f>
        <v>0</v>
      </c>
      <c r="AH21" s="66" t="n">
        <f aca="false">$D21*S21</f>
        <v>167.6</v>
      </c>
      <c r="AI21" s="67" t="n">
        <f aca="false">AJ21/$AI$16</f>
        <v>0.0542465044018643</v>
      </c>
      <c r="AJ21" s="66" t="n">
        <f aca="false">SUM(T21:AH21)</f>
        <v>838</v>
      </c>
    </row>
    <row r="22" customFormat="false" ht="15" hidden="false" customHeight="false" outlineLevel="0" collapsed="false">
      <c r="A22" s="52" t="n">
        <v>5</v>
      </c>
      <c r="B22" s="53" t="s">
        <v>101</v>
      </c>
      <c r="C22" s="54" t="s">
        <v>102</v>
      </c>
      <c r="D22" s="55" t="n">
        <f aca="false">VLOOKUP(C22,'[1]PREÇO ATUAL'!$A$1:$D$1048576,4,0)</f>
        <v>139.9</v>
      </c>
      <c r="E22" s="56"/>
      <c r="F22" s="56"/>
      <c r="G22" s="56"/>
      <c r="H22" s="56"/>
      <c r="I22" s="57"/>
      <c r="J22" s="57" t="n">
        <v>1</v>
      </c>
      <c r="K22" s="57"/>
      <c r="L22" s="57"/>
      <c r="M22" s="57"/>
      <c r="N22" s="96"/>
      <c r="O22" s="57"/>
      <c r="P22" s="57" t="n">
        <v>1</v>
      </c>
      <c r="Q22" s="57"/>
      <c r="R22" s="57"/>
      <c r="S22" s="57"/>
      <c r="T22" s="58" t="n">
        <f aca="false">$D22*E22</f>
        <v>0</v>
      </c>
      <c r="U22" s="58" t="n">
        <f aca="false">$D22*F22</f>
        <v>0</v>
      </c>
      <c r="V22" s="58" t="n">
        <f aca="false">$D22*G22</f>
        <v>0</v>
      </c>
      <c r="W22" s="58" t="n">
        <f aca="false">$D22*H22</f>
        <v>0</v>
      </c>
      <c r="X22" s="58" t="n">
        <f aca="false">$D22*I22</f>
        <v>0</v>
      </c>
      <c r="Y22" s="58" t="n">
        <f aca="false">$D22*J22</f>
        <v>139.9</v>
      </c>
      <c r="Z22" s="58" t="n">
        <f aca="false">$D22*K22</f>
        <v>0</v>
      </c>
      <c r="AA22" s="58" t="n">
        <f aca="false">$D22*L22</f>
        <v>0</v>
      </c>
      <c r="AB22" s="58" t="n">
        <f aca="false">$D22*M22</f>
        <v>0</v>
      </c>
      <c r="AC22" s="58" t="n">
        <f aca="false">$D22*N22</f>
        <v>0</v>
      </c>
      <c r="AD22" s="58" t="n">
        <f aca="false">$D22*O22</f>
        <v>0</v>
      </c>
      <c r="AE22" s="58" t="n">
        <f aca="false">$D22*P22</f>
        <v>139.9</v>
      </c>
      <c r="AF22" s="58" t="n">
        <f aca="false">$D22*Q22</f>
        <v>0</v>
      </c>
      <c r="AG22" s="58" t="n">
        <f aca="false">$D22*R22</f>
        <v>0</v>
      </c>
      <c r="AH22" s="58" t="n">
        <f aca="false">$D22*S22</f>
        <v>0</v>
      </c>
      <c r="AI22" s="59" t="n">
        <f aca="false">AJ22/$AI$16</f>
        <v>0.0181123770067323</v>
      </c>
      <c r="AJ22" s="58" t="n">
        <f aca="false">SUM(T22:AH22)</f>
        <v>279.8</v>
      </c>
    </row>
    <row r="23" customFormat="false" ht="15" hidden="false" customHeight="false" outlineLevel="0" collapsed="false">
      <c r="A23" s="60" t="n">
        <v>6</v>
      </c>
      <c r="B23" s="61" t="s">
        <v>103</v>
      </c>
      <c r="C23" s="62" t="s">
        <v>104</v>
      </c>
      <c r="D23" s="63" t="n">
        <f aca="false">VLOOKUP(C23,'[1]PREÇO ATUAL'!$A$1:$D$1048576,4,0)</f>
        <v>25.55</v>
      </c>
      <c r="E23" s="64"/>
      <c r="F23" s="64"/>
      <c r="G23" s="64"/>
      <c r="H23" s="64"/>
      <c r="I23" s="65"/>
      <c r="J23" s="65" t="n">
        <v>1</v>
      </c>
      <c r="K23" s="65"/>
      <c r="L23" s="65"/>
      <c r="M23" s="65"/>
      <c r="N23" s="97"/>
      <c r="O23" s="65"/>
      <c r="P23" s="65" t="n">
        <v>1</v>
      </c>
      <c r="Q23" s="65"/>
      <c r="R23" s="65"/>
      <c r="S23" s="65"/>
      <c r="T23" s="66" t="n">
        <f aca="false">$D23*E23</f>
        <v>0</v>
      </c>
      <c r="U23" s="66" t="n">
        <f aca="false">$D23*F23</f>
        <v>0</v>
      </c>
      <c r="V23" s="66" t="n">
        <f aca="false">$D23*G23</f>
        <v>0</v>
      </c>
      <c r="W23" s="66" t="n">
        <f aca="false">$D23*H23</f>
        <v>0</v>
      </c>
      <c r="X23" s="66" t="n">
        <f aca="false">$D23*I23</f>
        <v>0</v>
      </c>
      <c r="Y23" s="66" t="n">
        <f aca="false">$D23*J23</f>
        <v>25.55</v>
      </c>
      <c r="Z23" s="66" t="n">
        <f aca="false">$D23*K23</f>
        <v>0</v>
      </c>
      <c r="AA23" s="66" t="n">
        <f aca="false">$D23*L23</f>
        <v>0</v>
      </c>
      <c r="AB23" s="66" t="n">
        <f aca="false">$D23*M23</f>
        <v>0</v>
      </c>
      <c r="AC23" s="66" t="n">
        <f aca="false">$D23*N23</f>
        <v>0</v>
      </c>
      <c r="AD23" s="66" t="n">
        <f aca="false">$D23*O23</f>
        <v>0</v>
      </c>
      <c r="AE23" s="66" t="n">
        <f aca="false">$D23*P23</f>
        <v>25.55</v>
      </c>
      <c r="AF23" s="66" t="n">
        <f aca="false">$D23*Q23</f>
        <v>0</v>
      </c>
      <c r="AG23" s="66" t="n">
        <f aca="false">$D23*R23</f>
        <v>0</v>
      </c>
      <c r="AH23" s="66" t="n">
        <f aca="false">$D23*S23</f>
        <v>0</v>
      </c>
      <c r="AI23" s="67" t="n">
        <f aca="false">AJ23/$AI$16</f>
        <v>0.00330787156913516</v>
      </c>
      <c r="AJ23" s="66" t="n">
        <f aca="false">SUM(T23:AH23)</f>
        <v>51.1</v>
      </c>
    </row>
    <row r="24" customFormat="false" ht="15" hidden="false" customHeight="false" outlineLevel="0" collapsed="false">
      <c r="A24" s="52" t="n">
        <v>7</v>
      </c>
      <c r="B24" s="53" t="s">
        <v>94</v>
      </c>
      <c r="C24" s="54" t="s">
        <v>95</v>
      </c>
      <c r="D24" s="55" t="n">
        <f aca="false">VLOOKUP(C24,'[1]PREÇO ATUAL'!$A$1:$D$1048576,4,0)</f>
        <v>136.4</v>
      </c>
      <c r="E24" s="56"/>
      <c r="F24" s="56"/>
      <c r="G24" s="56"/>
      <c r="H24" s="56"/>
      <c r="I24" s="57"/>
      <c r="J24" s="57" t="n">
        <v>1</v>
      </c>
      <c r="K24" s="57"/>
      <c r="L24" s="57"/>
      <c r="M24" s="57"/>
      <c r="N24" s="96"/>
      <c r="O24" s="57"/>
      <c r="P24" s="57" t="n">
        <v>1</v>
      </c>
      <c r="Q24" s="57"/>
      <c r="R24" s="57"/>
      <c r="S24" s="57"/>
      <c r="T24" s="58" t="n">
        <f aca="false">$D24*E24</f>
        <v>0</v>
      </c>
      <c r="U24" s="58" t="n">
        <f aca="false">$D24*F24</f>
        <v>0</v>
      </c>
      <c r="V24" s="58" t="n">
        <f aca="false">$D24*G24</f>
        <v>0</v>
      </c>
      <c r="W24" s="58" t="n">
        <f aca="false">$D24*H24</f>
        <v>0</v>
      </c>
      <c r="X24" s="58" t="n">
        <f aca="false">$D24*I24</f>
        <v>0</v>
      </c>
      <c r="Y24" s="58" t="n">
        <f aca="false">$D24*J24</f>
        <v>136.4</v>
      </c>
      <c r="Z24" s="58" t="n">
        <f aca="false">$D24*K24</f>
        <v>0</v>
      </c>
      <c r="AA24" s="58" t="n">
        <f aca="false">$D24*L24</f>
        <v>0</v>
      </c>
      <c r="AB24" s="58" t="n">
        <f aca="false">$D24*M24</f>
        <v>0</v>
      </c>
      <c r="AC24" s="58" t="n">
        <f aca="false">$D24*N24</f>
        <v>0</v>
      </c>
      <c r="AD24" s="58" t="n">
        <f aca="false">$D24*O24</f>
        <v>0</v>
      </c>
      <c r="AE24" s="58" t="n">
        <f aca="false">$D24*P24</f>
        <v>136.4</v>
      </c>
      <c r="AF24" s="58" t="n">
        <f aca="false">$D24*Q24</f>
        <v>0</v>
      </c>
      <c r="AG24" s="58" t="n">
        <f aca="false">$D24*R24</f>
        <v>0</v>
      </c>
      <c r="AH24" s="58" t="n">
        <f aca="false">$D24*S24</f>
        <v>0</v>
      </c>
      <c r="AI24" s="59" t="n">
        <f aca="false">AJ24/$AI$16</f>
        <v>0.0176592439150699</v>
      </c>
      <c r="AJ24" s="58" t="n">
        <f aca="false">SUM(T24:AH24)</f>
        <v>272.8</v>
      </c>
    </row>
    <row r="25" customFormat="false" ht="15" hidden="false" customHeight="false" outlineLevel="0" collapsed="false">
      <c r="A25" s="60" t="n">
        <v>8</v>
      </c>
      <c r="B25" s="61" t="s">
        <v>151</v>
      </c>
      <c r="C25" s="62" t="s">
        <v>136</v>
      </c>
      <c r="D25" s="63" t="n">
        <f aca="false">VLOOKUP(C25,'[1]PREÇO ATUAL'!$A$1:$D$1048576,4,0)</f>
        <v>149.54</v>
      </c>
      <c r="E25" s="64"/>
      <c r="F25" s="64"/>
      <c r="G25" s="64"/>
      <c r="H25" s="64"/>
      <c r="I25" s="65"/>
      <c r="J25" s="65"/>
      <c r="K25" s="65"/>
      <c r="L25" s="65"/>
      <c r="M25" s="65"/>
      <c r="N25" s="97"/>
      <c r="O25" s="65"/>
      <c r="P25" s="65" t="n">
        <v>1</v>
      </c>
      <c r="Q25" s="65"/>
      <c r="R25" s="65"/>
      <c r="S25" s="65"/>
      <c r="T25" s="66" t="n">
        <f aca="false">$D25*E25</f>
        <v>0</v>
      </c>
      <c r="U25" s="66" t="n">
        <f aca="false">$D25*F25</f>
        <v>0</v>
      </c>
      <c r="V25" s="66" t="n">
        <f aca="false">$D25*G25</f>
        <v>0</v>
      </c>
      <c r="W25" s="66" t="n">
        <f aca="false">$D25*H25</f>
        <v>0</v>
      </c>
      <c r="X25" s="66" t="n">
        <f aca="false">$D25*I25</f>
        <v>0</v>
      </c>
      <c r="Y25" s="66" t="n">
        <f aca="false">$D25*J25</f>
        <v>0</v>
      </c>
      <c r="Z25" s="66" t="n">
        <f aca="false">$D25*K25</f>
        <v>0</v>
      </c>
      <c r="AA25" s="66" t="n">
        <f aca="false">$D25*L25</f>
        <v>0</v>
      </c>
      <c r="AB25" s="66" t="n">
        <f aca="false">$D25*M25</f>
        <v>0</v>
      </c>
      <c r="AC25" s="66" t="n">
        <f aca="false">$D25*N25</f>
        <v>0</v>
      </c>
      <c r="AD25" s="66" t="n">
        <f aca="false">$D25*O25</f>
        <v>0</v>
      </c>
      <c r="AE25" s="66" t="n">
        <f aca="false">$D25*P25</f>
        <v>149.54</v>
      </c>
      <c r="AF25" s="66" t="n">
        <f aca="false">$D25*Q25</f>
        <v>0</v>
      </c>
      <c r="AG25" s="66" t="n">
        <f aca="false">$D25*R25</f>
        <v>0</v>
      </c>
      <c r="AH25" s="66" t="n">
        <f aca="false">$D25*S25</f>
        <v>0</v>
      </c>
      <c r="AI25" s="67" t="n">
        <f aca="false">AJ25/$AI$16</f>
        <v>0.009680217503884</v>
      </c>
      <c r="AJ25" s="66" t="n">
        <f aca="false">SUM(T25:AH25)</f>
        <v>149.54</v>
      </c>
    </row>
    <row r="26" customFormat="false" ht="15" hidden="false" customHeight="false" outlineLevel="0" collapsed="false">
      <c r="A26" s="52" t="n">
        <v>9</v>
      </c>
      <c r="B26" s="53" t="s">
        <v>60</v>
      </c>
      <c r="C26" s="54" t="s">
        <v>61</v>
      </c>
      <c r="D26" s="55" t="n">
        <f aca="false">VLOOKUP(C26,'[1]PREÇO ATUAL'!$A$1:$D$1048576,4,0)</f>
        <v>33.6224930838505</v>
      </c>
      <c r="E26" s="56"/>
      <c r="F26" s="56"/>
      <c r="G26" s="56"/>
      <c r="H26" s="56"/>
      <c r="I26" s="57"/>
      <c r="J26" s="57"/>
      <c r="K26" s="57"/>
      <c r="L26" s="57"/>
      <c r="M26" s="57"/>
      <c r="N26" s="96"/>
      <c r="O26" s="57"/>
      <c r="P26" s="57"/>
      <c r="Q26" s="57"/>
      <c r="R26" s="57"/>
      <c r="S26" s="57"/>
      <c r="T26" s="58" t="n">
        <f aca="false">$D26*E26</f>
        <v>0</v>
      </c>
      <c r="U26" s="58" t="n">
        <f aca="false">$D26*F26</f>
        <v>0</v>
      </c>
      <c r="V26" s="58" t="n">
        <f aca="false">$D26*G26</f>
        <v>0</v>
      </c>
      <c r="W26" s="58" t="n">
        <f aca="false">$D26*H26</f>
        <v>0</v>
      </c>
      <c r="X26" s="58" t="n">
        <f aca="false">$D26*I26</f>
        <v>0</v>
      </c>
      <c r="Y26" s="58" t="n">
        <f aca="false">$D26*J26</f>
        <v>0</v>
      </c>
      <c r="Z26" s="58" t="n">
        <f aca="false">$D26*K26</f>
        <v>0</v>
      </c>
      <c r="AA26" s="58" t="n">
        <f aca="false">$D26*L26</f>
        <v>0</v>
      </c>
      <c r="AB26" s="58" t="n">
        <f aca="false">$D26*M26</f>
        <v>0</v>
      </c>
      <c r="AC26" s="58" t="n">
        <f aca="false">$D26*N26</f>
        <v>0</v>
      </c>
      <c r="AD26" s="58" t="n">
        <f aca="false">$D26*O26</f>
        <v>0</v>
      </c>
      <c r="AE26" s="58" t="n">
        <f aca="false">$D26*P26</f>
        <v>0</v>
      </c>
      <c r="AF26" s="58" t="n">
        <f aca="false">$D26*Q26</f>
        <v>0</v>
      </c>
      <c r="AG26" s="58" t="n">
        <f aca="false">$D26*R26</f>
        <v>0</v>
      </c>
      <c r="AH26" s="58" t="n">
        <f aca="false">$D26*S26</f>
        <v>0</v>
      </c>
      <c r="AI26" s="59" t="n">
        <f aca="false">AJ26/$AI$16</f>
        <v>0</v>
      </c>
      <c r="AJ26" s="58" t="n">
        <f aca="false">SUM(T26:AH26)</f>
        <v>0</v>
      </c>
    </row>
    <row r="27" customFormat="false" ht="15" hidden="false" customHeight="false" outlineLevel="0" collapsed="false">
      <c r="A27" s="60" t="n">
        <v>10</v>
      </c>
      <c r="B27" s="61" t="s">
        <v>89</v>
      </c>
      <c r="C27" s="62" t="s">
        <v>90</v>
      </c>
      <c r="D27" s="63" t="n">
        <f aca="false">VLOOKUP(C27,'[1]PREÇO ATUAL'!$A$1:$D$1048576,4,0)</f>
        <v>75.7</v>
      </c>
      <c r="E27" s="82" t="n">
        <v>2.7</v>
      </c>
      <c r="F27" s="82" t="n">
        <v>2.7</v>
      </c>
      <c r="G27" s="82" t="n">
        <v>2.7</v>
      </c>
      <c r="H27" s="82" t="n">
        <v>2.7</v>
      </c>
      <c r="I27" s="83" t="n">
        <v>2.7</v>
      </c>
      <c r="J27" s="83" t="n">
        <v>2.7</v>
      </c>
      <c r="K27" s="83" t="n">
        <v>2.7</v>
      </c>
      <c r="L27" s="83" t="n">
        <v>2.7</v>
      </c>
      <c r="M27" s="83" t="n">
        <v>2.7</v>
      </c>
      <c r="N27" s="120" t="n">
        <v>2.7</v>
      </c>
      <c r="O27" s="83" t="n">
        <v>2.7</v>
      </c>
      <c r="P27" s="83" t="n">
        <v>2.7</v>
      </c>
      <c r="Q27" s="83" t="n">
        <v>2.7</v>
      </c>
      <c r="R27" s="83" t="n">
        <v>2.7</v>
      </c>
      <c r="S27" s="83" t="n">
        <v>2.7</v>
      </c>
      <c r="T27" s="66" t="n">
        <f aca="false">$D27*E27</f>
        <v>204.39</v>
      </c>
      <c r="U27" s="66" t="n">
        <f aca="false">$D27*F27</f>
        <v>204.39</v>
      </c>
      <c r="V27" s="66" t="n">
        <f aca="false">$D27*G27</f>
        <v>204.39</v>
      </c>
      <c r="W27" s="66" t="n">
        <f aca="false">$D27*H27</f>
        <v>204.39</v>
      </c>
      <c r="X27" s="66" t="n">
        <f aca="false">$D27*I27</f>
        <v>204.39</v>
      </c>
      <c r="Y27" s="66" t="n">
        <f aca="false">$D27*J27</f>
        <v>204.39</v>
      </c>
      <c r="Z27" s="66" t="n">
        <f aca="false">$D27*K27</f>
        <v>204.39</v>
      </c>
      <c r="AA27" s="66" t="n">
        <f aca="false">$D27*L27</f>
        <v>204.39</v>
      </c>
      <c r="AB27" s="66" t="n">
        <f aca="false">$D27*M27</f>
        <v>204.39</v>
      </c>
      <c r="AC27" s="66" t="n">
        <f aca="false">$D27*N27</f>
        <v>204.39</v>
      </c>
      <c r="AD27" s="66" t="n">
        <f aca="false">$D27*O27</f>
        <v>204.39</v>
      </c>
      <c r="AE27" s="66" t="n">
        <f aca="false">$D27*P27</f>
        <v>204.39</v>
      </c>
      <c r="AF27" s="66" t="n">
        <f aca="false">$D27*Q27</f>
        <v>204.39</v>
      </c>
      <c r="AG27" s="66" t="n">
        <f aca="false">$D27*R27</f>
        <v>204.39</v>
      </c>
      <c r="AH27" s="66" t="n">
        <f aca="false">$D27*S27</f>
        <v>204.39</v>
      </c>
      <c r="AI27" s="67" t="n">
        <f aca="false">AJ27/$AI$16</f>
        <v>0.198462584153288</v>
      </c>
      <c r="AJ27" s="66" t="n">
        <f aca="false">SUM(T27:AH27)</f>
        <v>3065.85</v>
      </c>
    </row>
    <row r="28" customFormat="false" ht="15" hidden="false" customHeight="false" outlineLevel="0" collapsed="false">
      <c r="A28" s="52" t="n">
        <v>11</v>
      </c>
      <c r="B28" s="53" t="s">
        <v>64</v>
      </c>
      <c r="C28" s="54" t="s">
        <v>65</v>
      </c>
      <c r="D28" s="55" t="n">
        <f aca="false">VLOOKUP(C28,'[1]PREÇO ATUAL'!$A$1:$D$1048576,4,0)</f>
        <v>342</v>
      </c>
      <c r="E28" s="84" t="n">
        <v>0.75</v>
      </c>
      <c r="F28" s="84" t="n">
        <v>0.95</v>
      </c>
      <c r="G28" s="84" t="n">
        <v>2</v>
      </c>
      <c r="H28" s="84" t="n">
        <v>1.55</v>
      </c>
      <c r="I28" s="85" t="n">
        <v>0.9</v>
      </c>
      <c r="J28" s="85" t="n">
        <v>4.1</v>
      </c>
      <c r="K28" s="85" t="n">
        <v>0.75</v>
      </c>
      <c r="L28" s="85" t="n">
        <v>1.1</v>
      </c>
      <c r="M28" s="85" t="n">
        <v>2</v>
      </c>
      <c r="N28" s="103" t="n">
        <v>1.55</v>
      </c>
      <c r="O28" s="85" t="s">
        <v>147</v>
      </c>
      <c r="P28" s="85" t="n">
        <v>4.95</v>
      </c>
      <c r="Q28" s="85" t="s">
        <v>147</v>
      </c>
      <c r="R28" s="85" t="s">
        <v>148</v>
      </c>
      <c r="S28" s="85" t="s">
        <v>149</v>
      </c>
      <c r="T28" s="58" t="n">
        <f aca="false">D28*E28</f>
        <v>256.5</v>
      </c>
      <c r="U28" s="58" t="n">
        <f aca="false">$D28*F28</f>
        <v>324.9</v>
      </c>
      <c r="V28" s="58" t="n">
        <f aca="false">$D28*G28</f>
        <v>684</v>
      </c>
      <c r="W28" s="58" t="n">
        <f aca="false">$D28*H28</f>
        <v>530.1</v>
      </c>
      <c r="X28" s="58" t="n">
        <f aca="false">$D28*I28</f>
        <v>307.8</v>
      </c>
      <c r="Y28" s="58" t="n">
        <f aca="false">$D28*J28</f>
        <v>1402.2</v>
      </c>
      <c r="Z28" s="58" t="n">
        <f aca="false">$D28*K28</f>
        <v>256.5</v>
      </c>
      <c r="AA28" s="58" t="n">
        <f aca="false">$D28*L28</f>
        <v>376.2</v>
      </c>
      <c r="AB28" s="58" t="n">
        <f aca="false">$D28*M28</f>
        <v>684</v>
      </c>
      <c r="AC28" s="58" t="n">
        <f aca="false">$D28*N28</f>
        <v>530.1</v>
      </c>
      <c r="AD28" s="58" t="n">
        <f aca="false">$D28*O28</f>
        <v>324.9</v>
      </c>
      <c r="AE28" s="58" t="n">
        <f aca="false">$D28*P28</f>
        <v>1692.9</v>
      </c>
      <c r="AF28" s="58" t="n">
        <f aca="false">$D28*Q28</f>
        <v>324.9</v>
      </c>
      <c r="AG28" s="58" t="n">
        <f aca="false">$D28*R28</f>
        <v>410.4</v>
      </c>
      <c r="AH28" s="58" t="n">
        <f aca="false">$D28*S28</f>
        <v>786.6</v>
      </c>
      <c r="AI28" s="59" t="n">
        <f aca="false">AJ28/$AI$16</f>
        <v>0.575608493008804</v>
      </c>
      <c r="AJ28" s="58" t="n">
        <f aca="false">SUM(T28:AH28)</f>
        <v>8892</v>
      </c>
    </row>
    <row r="29" customFormat="false" ht="15.75" hidden="false" customHeight="true" outlineLevel="0" collapsed="false">
      <c r="H29" s="93"/>
      <c r="L29" s="93"/>
    </row>
    <row r="30" customFormat="false" ht="15" hidden="false" customHeight="true" outlineLevel="0" collapsed="false">
      <c r="A30" s="89" t="s">
        <v>152</v>
      </c>
      <c r="B30" s="89"/>
      <c r="C30" s="89"/>
      <c r="D30" s="89"/>
      <c r="E30" s="35" t="s">
        <v>29</v>
      </c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6" t="s">
        <v>30</v>
      </c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7" t="s">
        <v>31</v>
      </c>
      <c r="AJ30" s="37"/>
    </row>
    <row r="31" customFormat="false" ht="15" hidden="false" customHeight="false" outlineLevel="0" collapsed="false">
      <c r="A31" s="89"/>
      <c r="B31" s="89"/>
      <c r="C31" s="89"/>
      <c r="D31" s="89"/>
      <c r="E31" s="41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3" t="n">
        <f aca="false">MROUND(SUM(T33:T41),1)</f>
        <v>630</v>
      </c>
      <c r="U31" s="43" t="n">
        <f aca="false">MROUND(SUM(U33:U41),1)</f>
        <v>824</v>
      </c>
      <c r="V31" s="43" t="n">
        <f aca="false">MROUND(SUM(V33:V41),1)</f>
        <v>647</v>
      </c>
      <c r="W31" s="43" t="n">
        <f aca="false">MROUND(SUM(W33:W41),1)</f>
        <v>1647</v>
      </c>
      <c r="X31" s="43" t="n">
        <f aca="false">MROUND(SUM(X33:X41),1)</f>
        <v>681</v>
      </c>
      <c r="Y31" s="43" t="n">
        <f aca="false">MROUND(SUM(Y33:Y41),1)</f>
        <v>998</v>
      </c>
      <c r="Z31" s="43" t="n">
        <f aca="false">MROUND(SUM(Z33:Z41),1)</f>
        <v>630</v>
      </c>
      <c r="AA31" s="43" t="n">
        <f aca="false">MROUND(SUM(AA33:AA41),1)</f>
        <v>1647</v>
      </c>
      <c r="AB31" s="43" t="n">
        <f aca="false">MROUND(SUM(AB33:AB41),1)</f>
        <v>647</v>
      </c>
      <c r="AC31" s="43" t="n">
        <f aca="false">MROUND(SUM(AC33:AC41),1)</f>
        <v>875</v>
      </c>
      <c r="AD31" s="43" t="n">
        <f aca="false">MROUND(SUM(AD33:AD41),1)</f>
        <v>647</v>
      </c>
      <c r="AE31" s="43" t="n">
        <f aca="false">MROUND(SUM(AE33:AE41),1)</f>
        <v>2598</v>
      </c>
      <c r="AF31" s="43" t="n">
        <f aca="false">MROUND(SUM(AF33:AF41),1)</f>
        <v>647</v>
      </c>
      <c r="AG31" s="43" t="n">
        <f aca="false">MROUND(SUM(AG33:AG41),1)</f>
        <v>995</v>
      </c>
      <c r="AH31" s="43" t="n">
        <f aca="false">MROUND(SUM(AH33:AH41),1)</f>
        <v>647</v>
      </c>
      <c r="AI31" s="44" t="n">
        <f aca="false">SUM(T31:AH31)</f>
        <v>14760</v>
      </c>
      <c r="AJ31" s="44"/>
    </row>
    <row r="32" customFormat="false" ht="15" hidden="false" customHeight="false" outlineLevel="0" collapsed="false">
      <c r="A32" s="45" t="s">
        <v>32</v>
      </c>
      <c r="B32" s="45" t="s">
        <v>33</v>
      </c>
      <c r="C32" s="46" t="s">
        <v>34</v>
      </c>
      <c r="D32" s="47" t="s">
        <v>35</v>
      </c>
      <c r="E32" s="48" t="s">
        <v>36</v>
      </c>
      <c r="F32" s="48" t="s">
        <v>37</v>
      </c>
      <c r="G32" s="48" t="s">
        <v>38</v>
      </c>
      <c r="H32" s="48" t="s">
        <v>39</v>
      </c>
      <c r="I32" s="48" t="s">
        <v>40</v>
      </c>
      <c r="J32" s="48" t="s">
        <v>41</v>
      </c>
      <c r="K32" s="48" t="s">
        <v>42</v>
      </c>
      <c r="L32" s="48" t="s">
        <v>43</v>
      </c>
      <c r="M32" s="48" t="s">
        <v>44</v>
      </c>
      <c r="N32" s="48" t="s">
        <v>45</v>
      </c>
      <c r="O32" s="48" t="s">
        <v>142</v>
      </c>
      <c r="P32" s="48" t="s">
        <v>143</v>
      </c>
      <c r="Q32" s="48" t="s">
        <v>144</v>
      </c>
      <c r="R32" s="48" t="s">
        <v>145</v>
      </c>
      <c r="S32" s="48" t="s">
        <v>146</v>
      </c>
      <c r="T32" s="48" t="n">
        <v>10000</v>
      </c>
      <c r="U32" s="48" t="n">
        <v>20000</v>
      </c>
      <c r="V32" s="48" t="n">
        <v>30000</v>
      </c>
      <c r="W32" s="48" t="n">
        <v>40000</v>
      </c>
      <c r="X32" s="48" t="n">
        <v>50000</v>
      </c>
      <c r="Y32" s="48" t="n">
        <v>60000</v>
      </c>
      <c r="Z32" s="48" t="n">
        <v>70000</v>
      </c>
      <c r="AA32" s="48" t="n">
        <v>80000</v>
      </c>
      <c r="AB32" s="48" t="n">
        <v>90000</v>
      </c>
      <c r="AC32" s="48" t="n">
        <v>100000</v>
      </c>
      <c r="AD32" s="50" t="n">
        <f aca="false">AC32+10000</f>
        <v>110000</v>
      </c>
      <c r="AE32" s="50" t="n">
        <f aca="false">AD32+10000</f>
        <v>120000</v>
      </c>
      <c r="AF32" s="50" t="n">
        <f aca="false">AE32+10000</f>
        <v>130000</v>
      </c>
      <c r="AG32" s="50" t="n">
        <f aca="false">AF32+10000</f>
        <v>140000</v>
      </c>
      <c r="AH32" s="50" t="n">
        <f aca="false">AG32+10000</f>
        <v>150000</v>
      </c>
      <c r="AI32" s="51" t="n">
        <f aca="false">SUM(AI33:AI41)</f>
        <v>0.909019657258065</v>
      </c>
      <c r="AJ32" s="45" t="s">
        <v>47</v>
      </c>
    </row>
    <row r="33" customFormat="false" ht="15" hidden="false" customHeight="false" outlineLevel="0" collapsed="false">
      <c r="A33" s="52" t="n">
        <v>1</v>
      </c>
      <c r="B33" s="53" t="s">
        <v>67</v>
      </c>
      <c r="C33" s="54" t="s">
        <v>49</v>
      </c>
      <c r="D33" s="55" t="n">
        <f aca="false">VLOOKUP(C33,'[1]PREÇO ATUAL'!$A$1:$D$1048576,4,0)</f>
        <v>79.9</v>
      </c>
      <c r="E33" s="56" t="n">
        <v>1</v>
      </c>
      <c r="F33" s="56" t="n">
        <v>1</v>
      </c>
      <c r="G33" s="56" t="n">
        <v>1</v>
      </c>
      <c r="H33" s="56" t="n">
        <v>1</v>
      </c>
      <c r="I33" s="57" t="n">
        <v>1</v>
      </c>
      <c r="J33" s="57" t="n">
        <v>1</v>
      </c>
      <c r="K33" s="57" t="n">
        <v>1</v>
      </c>
      <c r="L33" s="57" t="n">
        <v>1</v>
      </c>
      <c r="M33" s="57" t="n">
        <v>1</v>
      </c>
      <c r="N33" s="57" t="n">
        <v>1</v>
      </c>
      <c r="O33" s="57" t="n">
        <v>1</v>
      </c>
      <c r="P33" s="57" t="n">
        <v>1</v>
      </c>
      <c r="Q33" s="57" t="n">
        <v>1</v>
      </c>
      <c r="R33" s="57" t="n">
        <v>1</v>
      </c>
      <c r="S33" s="57" t="n">
        <v>1</v>
      </c>
      <c r="T33" s="58" t="n">
        <f aca="false">$D33*E33</f>
        <v>79.9</v>
      </c>
      <c r="U33" s="58" t="n">
        <f aca="false">$D33*F33</f>
        <v>79.9</v>
      </c>
      <c r="V33" s="58" t="n">
        <f aca="false">$D33*G33</f>
        <v>79.9</v>
      </c>
      <c r="W33" s="58" t="n">
        <f aca="false">$D33*H33</f>
        <v>79.9</v>
      </c>
      <c r="X33" s="58" t="n">
        <f aca="false">$D33*I33</f>
        <v>79.9</v>
      </c>
      <c r="Y33" s="58" t="n">
        <f aca="false">$D33*J33</f>
        <v>79.9</v>
      </c>
      <c r="Z33" s="58" t="n">
        <f aca="false">$D33*K33</f>
        <v>79.9</v>
      </c>
      <c r="AA33" s="58" t="n">
        <f aca="false">$D33*L33</f>
        <v>79.9</v>
      </c>
      <c r="AB33" s="58" t="n">
        <f aca="false">$D33*M33</f>
        <v>79.9</v>
      </c>
      <c r="AC33" s="58" t="n">
        <f aca="false">$D33*N33</f>
        <v>79.9</v>
      </c>
      <c r="AD33" s="58" t="n">
        <f aca="false">$D33*O33</f>
        <v>79.9</v>
      </c>
      <c r="AE33" s="58" t="n">
        <f aca="false">$D33*P33</f>
        <v>79.9</v>
      </c>
      <c r="AF33" s="58" t="n">
        <f aca="false">$D33*Q33</f>
        <v>79.9</v>
      </c>
      <c r="AG33" s="58" t="n">
        <f aca="false">$D33*R33</f>
        <v>79.9</v>
      </c>
      <c r="AH33" s="58" t="n">
        <f aca="false">$D33*S33</f>
        <v>79.9</v>
      </c>
      <c r="AI33" s="59" t="n">
        <f aca="false">AJ33/$AI$2</f>
        <v>0.0755103326612903</v>
      </c>
      <c r="AJ33" s="58" t="n">
        <f aca="false">SUM(T33:AH33)</f>
        <v>1198.5</v>
      </c>
    </row>
    <row r="34" customFormat="false" ht="15" hidden="false" customHeight="false" outlineLevel="0" collapsed="false">
      <c r="A34" s="60" t="n">
        <v>2</v>
      </c>
      <c r="B34" s="61" t="s">
        <v>50</v>
      </c>
      <c r="C34" s="62" t="s">
        <v>51</v>
      </c>
      <c r="D34" s="63" t="n">
        <f aca="false">VLOOKUP(C34,'[1]PREÇO ATUAL'!$A$1:$D$1048576,4,0)</f>
        <v>35.9</v>
      </c>
      <c r="E34" s="64"/>
      <c r="F34" s="64" t="n">
        <v>1</v>
      </c>
      <c r="G34" s="64"/>
      <c r="H34" s="64" t="n">
        <v>1</v>
      </c>
      <c r="I34" s="65"/>
      <c r="J34" s="65" t="n">
        <v>1</v>
      </c>
      <c r="K34" s="65"/>
      <c r="L34" s="65" t="n">
        <v>1</v>
      </c>
      <c r="M34" s="65"/>
      <c r="N34" s="65" t="n">
        <v>1</v>
      </c>
      <c r="O34" s="65"/>
      <c r="P34" s="65" t="n">
        <v>1</v>
      </c>
      <c r="Q34" s="65"/>
      <c r="R34" s="65" t="n">
        <v>1</v>
      </c>
      <c r="S34" s="65"/>
      <c r="T34" s="66" t="n">
        <f aca="false">$D34*E34</f>
        <v>0</v>
      </c>
      <c r="U34" s="66" t="n">
        <f aca="false">$D34*F34</f>
        <v>35.9</v>
      </c>
      <c r="V34" s="66" t="n">
        <f aca="false">$D34*G34</f>
        <v>0</v>
      </c>
      <c r="W34" s="66" t="n">
        <f aca="false">$D34*H34</f>
        <v>35.9</v>
      </c>
      <c r="X34" s="66" t="n">
        <f aca="false">$D34*I34</f>
        <v>0</v>
      </c>
      <c r="Y34" s="66" t="n">
        <f aca="false">$D34*J34</f>
        <v>35.9</v>
      </c>
      <c r="Z34" s="66" t="n">
        <f aca="false">$D34*K34</f>
        <v>0</v>
      </c>
      <c r="AA34" s="66" t="n">
        <f aca="false">$D34*L34</f>
        <v>35.9</v>
      </c>
      <c r="AB34" s="66" t="n">
        <f aca="false">$D34*M34</f>
        <v>0</v>
      </c>
      <c r="AC34" s="66" t="n">
        <f aca="false">$D34*N34</f>
        <v>35.9</v>
      </c>
      <c r="AD34" s="66" t="n">
        <f aca="false">$D34*O34</f>
        <v>0</v>
      </c>
      <c r="AE34" s="66" t="n">
        <f aca="false">$D34*P34</f>
        <v>35.9</v>
      </c>
      <c r="AF34" s="66" t="n">
        <f aca="false">$D34*Q34</f>
        <v>0</v>
      </c>
      <c r="AG34" s="66" t="n">
        <f aca="false">$D34*R34</f>
        <v>35.9</v>
      </c>
      <c r="AH34" s="66" t="n">
        <f aca="false">$D34*S34</f>
        <v>0</v>
      </c>
      <c r="AI34" s="67" t="n">
        <f aca="false">AJ34/$AI$2</f>
        <v>0.0158329133064516</v>
      </c>
      <c r="AJ34" s="66" t="n">
        <f aca="false">SUM(T34:AH34)</f>
        <v>251.3</v>
      </c>
    </row>
    <row r="35" customFormat="false" ht="15" hidden="false" customHeight="false" outlineLevel="0" collapsed="false">
      <c r="A35" s="52" t="n">
        <v>3</v>
      </c>
      <c r="B35" s="53" t="s">
        <v>68</v>
      </c>
      <c r="C35" s="54" t="s">
        <v>53</v>
      </c>
      <c r="D35" s="55" t="n">
        <f aca="false">VLOOKUP(C35,'[1]PREÇO ATUAL'!$A$1:$D$1048576,4,0)</f>
        <v>89.9</v>
      </c>
      <c r="E35" s="56"/>
      <c r="F35" s="56" t="n">
        <v>1</v>
      </c>
      <c r="G35" s="56"/>
      <c r="H35" s="56" t="n">
        <v>1</v>
      </c>
      <c r="I35" s="57"/>
      <c r="J35" s="57" t="n">
        <v>1</v>
      </c>
      <c r="K35" s="57"/>
      <c r="L35" s="57" t="n">
        <v>1</v>
      </c>
      <c r="M35" s="57"/>
      <c r="N35" s="57" t="n">
        <v>1</v>
      </c>
      <c r="O35" s="57"/>
      <c r="P35" s="57" t="n">
        <v>1</v>
      </c>
      <c r="Q35" s="57"/>
      <c r="R35" s="57" t="n">
        <v>1</v>
      </c>
      <c r="S35" s="57"/>
      <c r="T35" s="58" t="n">
        <f aca="false">$D35*E35</f>
        <v>0</v>
      </c>
      <c r="U35" s="58" t="n">
        <f aca="false">$D35*F35</f>
        <v>89.9</v>
      </c>
      <c r="V35" s="58" t="n">
        <f aca="false">$D35*G35</f>
        <v>0</v>
      </c>
      <c r="W35" s="58" t="n">
        <f aca="false">$D35*H35</f>
        <v>89.9</v>
      </c>
      <c r="X35" s="58" t="n">
        <f aca="false">$D35*I35</f>
        <v>0</v>
      </c>
      <c r="Y35" s="58" t="n">
        <f aca="false">$D35*J35</f>
        <v>89.9</v>
      </c>
      <c r="Z35" s="58" t="n">
        <f aca="false">$D35*K35</f>
        <v>0</v>
      </c>
      <c r="AA35" s="58" t="n">
        <f aca="false">$D35*L35</f>
        <v>89.9</v>
      </c>
      <c r="AB35" s="58" t="n">
        <f aca="false">$D35*M35</f>
        <v>0</v>
      </c>
      <c r="AC35" s="58" t="n">
        <f aca="false">$D35*N35</f>
        <v>89.9</v>
      </c>
      <c r="AD35" s="58" t="n">
        <f aca="false">$D35*O35</f>
        <v>0</v>
      </c>
      <c r="AE35" s="58" t="n">
        <f aca="false">$D35*P35</f>
        <v>89.9</v>
      </c>
      <c r="AF35" s="58" t="n">
        <f aca="false">$D35*Q35</f>
        <v>0</v>
      </c>
      <c r="AG35" s="58" t="n">
        <f aca="false">$D35*R35</f>
        <v>89.9</v>
      </c>
      <c r="AH35" s="58" t="n">
        <f aca="false">$D35*S35</f>
        <v>0</v>
      </c>
      <c r="AI35" s="59" t="n">
        <f aca="false">AJ35/$AI$2</f>
        <v>0.0396484375</v>
      </c>
      <c r="AJ35" s="58" t="n">
        <f aca="false">SUM(T35:AH35)</f>
        <v>629.3</v>
      </c>
    </row>
    <row r="36" customFormat="false" ht="15" hidden="false" customHeight="false" outlineLevel="0" collapsed="false">
      <c r="A36" s="60" t="n">
        <v>4</v>
      </c>
      <c r="B36" s="73" t="s">
        <v>153</v>
      </c>
      <c r="C36" s="62" t="s">
        <v>55</v>
      </c>
      <c r="D36" s="63" t="n">
        <f aca="false">VLOOKUP(C36,'[1]PREÇO ATUAL'!$A$1:$D$1048576,4,0)</f>
        <v>175.9</v>
      </c>
      <c r="E36" s="64"/>
      <c r="F36" s="64"/>
      <c r="G36" s="64"/>
      <c r="H36" s="64" t="n">
        <v>4</v>
      </c>
      <c r="I36" s="65"/>
      <c r="J36" s="65"/>
      <c r="K36" s="65"/>
      <c r="L36" s="65" t="n">
        <v>4</v>
      </c>
      <c r="M36" s="65"/>
      <c r="N36" s="65"/>
      <c r="O36" s="65"/>
      <c r="P36" s="65" t="n">
        <v>4</v>
      </c>
      <c r="Q36" s="65"/>
      <c r="R36" s="65"/>
      <c r="S36" s="65"/>
      <c r="T36" s="66" t="n">
        <f aca="false">$D36*E36</f>
        <v>0</v>
      </c>
      <c r="U36" s="66" t="n">
        <f aca="false">$D36*F36</f>
        <v>0</v>
      </c>
      <c r="V36" s="66" t="n">
        <f aca="false">$D36*G36</f>
        <v>0</v>
      </c>
      <c r="W36" s="66" t="n">
        <f aca="false">$D36*H36</f>
        <v>703.6</v>
      </c>
      <c r="X36" s="66" t="n">
        <f aca="false">$D36*I36</f>
        <v>0</v>
      </c>
      <c r="Y36" s="66" t="n">
        <f aca="false">$D36*J36</f>
        <v>0</v>
      </c>
      <c r="Z36" s="66" t="n">
        <f aca="false">$D36*K36</f>
        <v>0</v>
      </c>
      <c r="AA36" s="66" t="n">
        <f aca="false">$D36*L36</f>
        <v>703.6</v>
      </c>
      <c r="AB36" s="66" t="n">
        <f aca="false">$D36*M36</f>
        <v>0</v>
      </c>
      <c r="AC36" s="66" t="n">
        <f aca="false">$D36*N36</f>
        <v>0</v>
      </c>
      <c r="AD36" s="66" t="n">
        <f aca="false">$D36*O36</f>
        <v>0</v>
      </c>
      <c r="AE36" s="66" t="n">
        <f aca="false">$D36*P36</f>
        <v>703.6</v>
      </c>
      <c r="AF36" s="66" t="n">
        <f aca="false">$D36*Q36</f>
        <v>0</v>
      </c>
      <c r="AG36" s="66" t="n">
        <f aca="false">$D36*R36</f>
        <v>0</v>
      </c>
      <c r="AH36" s="66" t="n">
        <f aca="false">$D36*S36</f>
        <v>0</v>
      </c>
      <c r="AI36" s="67" t="n">
        <f aca="false">AJ36/$AI$2</f>
        <v>0.132988911290323</v>
      </c>
      <c r="AJ36" s="66" t="n">
        <f aca="false">SUM(T36:AH36)</f>
        <v>2110.8</v>
      </c>
    </row>
    <row r="37" customFormat="false" ht="23.25" hidden="false" customHeight="false" outlineLevel="0" collapsed="false">
      <c r="A37" s="52" t="n">
        <v>5</v>
      </c>
      <c r="B37" s="72" t="s">
        <v>154</v>
      </c>
      <c r="C37" s="54" t="s">
        <v>102</v>
      </c>
      <c r="D37" s="55" t="n">
        <f aca="false">VLOOKUP(C37,'[1]PREÇO ATUAL'!$A$1:$D$1048576,4,0)</f>
        <v>139.9</v>
      </c>
      <c r="E37" s="56"/>
      <c r="F37" s="56"/>
      <c r="G37" s="56"/>
      <c r="H37" s="56"/>
      <c r="I37" s="57"/>
      <c r="J37" s="57" t="n">
        <v>1</v>
      </c>
      <c r="K37" s="57"/>
      <c r="L37" s="57"/>
      <c r="M37" s="57"/>
      <c r="N37" s="57"/>
      <c r="O37" s="57"/>
      <c r="P37" s="57" t="n">
        <v>1</v>
      </c>
      <c r="Q37" s="57"/>
      <c r="R37" s="57"/>
      <c r="S37" s="57"/>
      <c r="T37" s="58" t="n">
        <f aca="false">$D37*E37</f>
        <v>0</v>
      </c>
      <c r="U37" s="58" t="n">
        <f aca="false">$D37*F37</f>
        <v>0</v>
      </c>
      <c r="V37" s="58" t="n">
        <f aca="false">$D37*G37</f>
        <v>0</v>
      </c>
      <c r="W37" s="58" t="n">
        <f aca="false">$D37*H37</f>
        <v>0</v>
      </c>
      <c r="X37" s="58" t="n">
        <f aca="false">$D37*I37</f>
        <v>0</v>
      </c>
      <c r="Y37" s="58" t="n">
        <f aca="false">$D37*J37</f>
        <v>139.9</v>
      </c>
      <c r="Z37" s="58" t="n">
        <f aca="false">$D37*K37</f>
        <v>0</v>
      </c>
      <c r="AA37" s="58" t="n">
        <f aca="false">$D37*L37</f>
        <v>0</v>
      </c>
      <c r="AB37" s="58" t="n">
        <f aca="false">$D37*M37</f>
        <v>0</v>
      </c>
      <c r="AC37" s="58" t="n">
        <f aca="false">$D37*N37</f>
        <v>0</v>
      </c>
      <c r="AD37" s="58" t="n">
        <f aca="false">$D37*O37</f>
        <v>0</v>
      </c>
      <c r="AE37" s="58" t="n">
        <f aca="false">$D37*P37</f>
        <v>139.9</v>
      </c>
      <c r="AF37" s="58" t="n">
        <f aca="false">$D37*Q37</f>
        <v>0</v>
      </c>
      <c r="AG37" s="58" t="n">
        <f aca="false">$D37*R37</f>
        <v>0</v>
      </c>
      <c r="AH37" s="58" t="n">
        <f aca="false">$D37*S37</f>
        <v>0</v>
      </c>
      <c r="AI37" s="59" t="n">
        <f aca="false">AJ37/$AI$2</f>
        <v>0.0176285282258065</v>
      </c>
      <c r="AJ37" s="58" t="n">
        <f aca="false">SUM(T37:AH37)</f>
        <v>279.8</v>
      </c>
    </row>
    <row r="38" customFormat="false" ht="15" hidden="false" customHeight="false" outlineLevel="0" collapsed="false">
      <c r="A38" s="60" t="n">
        <v>6</v>
      </c>
      <c r="B38" s="73" t="s">
        <v>58</v>
      </c>
      <c r="C38" s="62" t="s">
        <v>59</v>
      </c>
      <c r="D38" s="63" t="n">
        <f aca="false">VLOOKUP(C38,'[1]PREÇO ATUAL'!$A$1:$D$1048576,4,0)</f>
        <v>165.97812</v>
      </c>
      <c r="E38" s="64"/>
      <c r="F38" s="117"/>
      <c r="G38" s="64"/>
      <c r="H38" s="117"/>
      <c r="I38" s="65"/>
      <c r="J38" s="117"/>
      <c r="K38" s="65"/>
      <c r="L38" s="117"/>
      <c r="M38" s="65"/>
      <c r="N38" s="65"/>
      <c r="O38" s="65"/>
      <c r="P38" s="117" t="n">
        <v>2</v>
      </c>
      <c r="Q38" s="117"/>
      <c r="R38" s="117"/>
      <c r="S38" s="117"/>
      <c r="T38" s="66" t="n">
        <f aca="false">$D38*E38</f>
        <v>0</v>
      </c>
      <c r="U38" s="66" t="n">
        <f aca="false">$D38*F38</f>
        <v>0</v>
      </c>
      <c r="V38" s="66" t="n">
        <f aca="false">$D38*G38</f>
        <v>0</v>
      </c>
      <c r="W38" s="66" t="n">
        <f aca="false">$D38*H38</f>
        <v>0</v>
      </c>
      <c r="X38" s="66" t="n">
        <f aca="false">$D38*I38</f>
        <v>0</v>
      </c>
      <c r="Y38" s="66" t="n">
        <f aca="false">$D38*J38</f>
        <v>0</v>
      </c>
      <c r="Z38" s="66" t="n">
        <f aca="false">$D38*K38</f>
        <v>0</v>
      </c>
      <c r="AA38" s="66" t="n">
        <f aca="false">$D38*L38</f>
        <v>0</v>
      </c>
      <c r="AB38" s="66" t="n">
        <f aca="false">$D38*M38</f>
        <v>0</v>
      </c>
      <c r="AC38" s="66" t="n">
        <f aca="false">$D38*N38</f>
        <v>0</v>
      </c>
      <c r="AD38" s="66" t="n">
        <f aca="false">$D38*O38</f>
        <v>0</v>
      </c>
      <c r="AE38" s="66" t="n">
        <f aca="false">$D38*P38</f>
        <v>331.95624</v>
      </c>
      <c r="AF38" s="66" t="n">
        <f aca="false">$D38*Q38</f>
        <v>0</v>
      </c>
      <c r="AG38" s="66" t="n">
        <f aca="false">$D38*R38</f>
        <v>0</v>
      </c>
      <c r="AH38" s="66" t="n">
        <f aca="false">$D38*S38</f>
        <v>0</v>
      </c>
      <c r="AI38" s="67"/>
      <c r="AJ38" s="66" t="n">
        <f aca="false">SUM(T38:AH38)</f>
        <v>331.95624</v>
      </c>
    </row>
    <row r="39" customFormat="false" ht="15" hidden="false" customHeight="false" outlineLevel="0" collapsed="false">
      <c r="A39" s="52" t="n">
        <v>7</v>
      </c>
      <c r="B39" s="53" t="s">
        <v>60</v>
      </c>
      <c r="C39" s="54" t="s">
        <v>61</v>
      </c>
      <c r="D39" s="55" t="n">
        <f aca="false">VLOOKUP(C39,'[1]PREÇO ATUAL'!$A$1:$D$1048576,4,0)</f>
        <v>33.6224930838505</v>
      </c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58" t="n">
        <v>0</v>
      </c>
      <c r="U39" s="58" t="n">
        <f aca="false">$D39*F39</f>
        <v>0</v>
      </c>
      <c r="V39" s="58" t="n">
        <f aca="false">$D39*G39</f>
        <v>0</v>
      </c>
      <c r="W39" s="58" t="n">
        <f aca="false">$D39*H39</f>
        <v>0</v>
      </c>
      <c r="X39" s="58" t="n">
        <f aca="false">$D39*I39</f>
        <v>0</v>
      </c>
      <c r="Y39" s="58" t="n">
        <f aca="false">$D39*J39</f>
        <v>0</v>
      </c>
      <c r="Z39" s="58" t="n">
        <f aca="false">$D39*K39</f>
        <v>0</v>
      </c>
      <c r="AA39" s="58" t="n">
        <f aca="false">$D39*L39</f>
        <v>0</v>
      </c>
      <c r="AB39" s="58" t="n">
        <f aca="false">$D39*M39</f>
        <v>0</v>
      </c>
      <c r="AC39" s="58" t="n">
        <f aca="false">$D39*N39</f>
        <v>0</v>
      </c>
      <c r="AD39" s="58" t="n">
        <f aca="false">$D39*O39</f>
        <v>0</v>
      </c>
      <c r="AE39" s="58" t="n">
        <f aca="false">$D39*P39</f>
        <v>0</v>
      </c>
      <c r="AF39" s="58" t="n">
        <f aca="false">$D39*Q39</f>
        <v>0</v>
      </c>
      <c r="AG39" s="58" t="n">
        <f aca="false">$D39*R39</f>
        <v>0</v>
      </c>
      <c r="AH39" s="58" t="n">
        <f aca="false">$D39*S39</f>
        <v>0</v>
      </c>
      <c r="AI39" s="59" t="n">
        <f aca="false">AJ39/$AI$2</f>
        <v>0</v>
      </c>
      <c r="AJ39" s="58" t="n">
        <f aca="false">SUM(T39:AH39)</f>
        <v>0</v>
      </c>
    </row>
    <row r="40" customFormat="false" ht="15" hidden="false" customHeight="false" outlineLevel="0" collapsed="false">
      <c r="A40" s="60" t="n">
        <v>8</v>
      </c>
      <c r="B40" s="61" t="s">
        <v>155</v>
      </c>
      <c r="C40" s="62" t="s">
        <v>63</v>
      </c>
      <c r="D40" s="63" t="n">
        <f aca="false">VLOOKUP(C40,'[1]PREÇO ATUAL'!$A$1:$D$1048576,4,0)</f>
        <v>81.26</v>
      </c>
      <c r="E40" s="82" t="n">
        <v>3.4</v>
      </c>
      <c r="F40" s="82" t="n">
        <v>3.4</v>
      </c>
      <c r="G40" s="82" t="n">
        <v>3.4</v>
      </c>
      <c r="H40" s="82" t="n">
        <v>3.4</v>
      </c>
      <c r="I40" s="83" t="n">
        <v>3.4</v>
      </c>
      <c r="J40" s="83" t="n">
        <v>3.4</v>
      </c>
      <c r="K40" s="83" t="n">
        <v>3.4</v>
      </c>
      <c r="L40" s="83" t="n">
        <v>3.4</v>
      </c>
      <c r="M40" s="83" t="n">
        <v>3.4</v>
      </c>
      <c r="N40" s="83" t="n">
        <v>3.4</v>
      </c>
      <c r="O40" s="63" t="n">
        <v>3.4</v>
      </c>
      <c r="P40" s="63" t="n">
        <v>3.4</v>
      </c>
      <c r="Q40" s="63" t="n">
        <v>3.4</v>
      </c>
      <c r="R40" s="63" t="n">
        <v>3.4</v>
      </c>
      <c r="S40" s="63" t="n">
        <v>3.4</v>
      </c>
      <c r="T40" s="66" t="n">
        <f aca="false">$D40*E40</f>
        <v>276.284</v>
      </c>
      <c r="U40" s="66" t="n">
        <f aca="false">$D40*F40</f>
        <v>276.284</v>
      </c>
      <c r="V40" s="66" t="n">
        <f aca="false">$D40*G40</f>
        <v>276.284</v>
      </c>
      <c r="W40" s="66" t="n">
        <f aca="false">$D40*H40</f>
        <v>276.284</v>
      </c>
      <c r="X40" s="66" t="n">
        <f aca="false">$D40*I40</f>
        <v>276.284</v>
      </c>
      <c r="Y40" s="66" t="n">
        <f aca="false">$D40*J40</f>
        <v>276.284</v>
      </c>
      <c r="Z40" s="66" t="n">
        <f aca="false">$D40*K40</f>
        <v>276.284</v>
      </c>
      <c r="AA40" s="66" t="n">
        <f aca="false">$D40*L40</f>
        <v>276.284</v>
      </c>
      <c r="AB40" s="66" t="n">
        <f aca="false">$D40*M40</f>
        <v>276.284</v>
      </c>
      <c r="AC40" s="66" t="n">
        <f aca="false">$D40*N40</f>
        <v>276.284</v>
      </c>
      <c r="AD40" s="66" t="n">
        <f aca="false">$D40*O40</f>
        <v>276.284</v>
      </c>
      <c r="AE40" s="66" t="n">
        <f aca="false">$D40*P40</f>
        <v>276.284</v>
      </c>
      <c r="AF40" s="66" t="n">
        <f aca="false">$D40*Q40</f>
        <v>276.284</v>
      </c>
      <c r="AG40" s="66" t="n">
        <f aca="false">$D40*R40</f>
        <v>276.284</v>
      </c>
      <c r="AH40" s="66" t="n">
        <f aca="false">$D40*S40</f>
        <v>276.284</v>
      </c>
      <c r="AI40" s="67" t="n">
        <f aca="false">AJ40/$AI$2</f>
        <v>0.261105090725806</v>
      </c>
      <c r="AJ40" s="66" t="n">
        <f aca="false">SUM(T40:AH40)</f>
        <v>4144.26</v>
      </c>
    </row>
    <row r="41" customFormat="false" ht="15" hidden="false" customHeight="false" outlineLevel="0" collapsed="false">
      <c r="A41" s="52" t="n">
        <v>9</v>
      </c>
      <c r="B41" s="53" t="s">
        <v>64</v>
      </c>
      <c r="C41" s="54" t="s">
        <v>65</v>
      </c>
      <c r="D41" s="55" t="n">
        <f aca="false">VLOOKUP(C41,'[1]PREÇO ATUAL'!$A$1:$D$1048576,4,0)</f>
        <v>342</v>
      </c>
      <c r="E41" s="84" t="n">
        <v>0.8</v>
      </c>
      <c r="F41" s="84" t="n">
        <v>1</v>
      </c>
      <c r="G41" s="84" t="n">
        <v>0.85</v>
      </c>
      <c r="H41" s="84" t="n">
        <v>1.35</v>
      </c>
      <c r="I41" s="84" t="n">
        <v>0.95</v>
      </c>
      <c r="J41" s="84" t="n">
        <v>1.1</v>
      </c>
      <c r="K41" s="84" t="n">
        <v>0.8</v>
      </c>
      <c r="L41" s="84" t="n">
        <v>1.35</v>
      </c>
      <c r="M41" s="84" t="n">
        <v>0.85</v>
      </c>
      <c r="N41" s="84" t="n">
        <v>1.15</v>
      </c>
      <c r="O41" s="84" t="n">
        <v>0.85</v>
      </c>
      <c r="P41" s="84" t="n">
        <v>2.75</v>
      </c>
      <c r="Q41" s="84" t="n">
        <v>0.85</v>
      </c>
      <c r="R41" s="84" t="n">
        <v>1.5</v>
      </c>
      <c r="S41" s="84" t="n">
        <v>0.85</v>
      </c>
      <c r="T41" s="58" t="n">
        <f aca="false">$D$41*E41</f>
        <v>273.6</v>
      </c>
      <c r="U41" s="58" t="n">
        <f aca="false">$D$41*F41</f>
        <v>342</v>
      </c>
      <c r="V41" s="58" t="n">
        <f aca="false">$D$41*G41</f>
        <v>290.7</v>
      </c>
      <c r="W41" s="58" t="n">
        <f aca="false">$D$41*H41</f>
        <v>461.7</v>
      </c>
      <c r="X41" s="58" t="n">
        <f aca="false">$D$41*I41</f>
        <v>324.9</v>
      </c>
      <c r="Y41" s="58" t="n">
        <f aca="false">$D$41*J41</f>
        <v>376.2</v>
      </c>
      <c r="Z41" s="58" t="n">
        <f aca="false">$D$41*K41</f>
        <v>273.6</v>
      </c>
      <c r="AA41" s="58" t="n">
        <f aca="false">$D$41*L41</f>
        <v>461.7</v>
      </c>
      <c r="AB41" s="58" t="n">
        <f aca="false">$D$41*M41</f>
        <v>290.7</v>
      </c>
      <c r="AC41" s="58" t="n">
        <f aca="false">$D$41*N41</f>
        <v>393.3</v>
      </c>
      <c r="AD41" s="58" t="n">
        <f aca="false">$D$41*O41</f>
        <v>290.7</v>
      </c>
      <c r="AE41" s="58" t="n">
        <f aca="false">$D$41*P41</f>
        <v>940.5</v>
      </c>
      <c r="AF41" s="58" t="n">
        <f aca="false">$D$41*Q41</f>
        <v>290.7</v>
      </c>
      <c r="AG41" s="58" t="n">
        <f aca="false">$D$41*R41</f>
        <v>513</v>
      </c>
      <c r="AH41" s="58" t="n">
        <f aca="false">$D$41*S41</f>
        <v>290.7</v>
      </c>
      <c r="AI41" s="59" t="n">
        <f aca="false">AJ41/$AI$2</f>
        <v>0.366305443548387</v>
      </c>
      <c r="AJ41" s="58" t="n">
        <f aca="false">SUM(T41:AH41)</f>
        <v>5814</v>
      </c>
    </row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</sheetData>
  <mergeCells count="15">
    <mergeCell ref="A1:D2"/>
    <mergeCell ref="E1:S1"/>
    <mergeCell ref="T1:AH1"/>
    <mergeCell ref="AI1:AJ1"/>
    <mergeCell ref="AI2:AJ2"/>
    <mergeCell ref="A15:D16"/>
    <mergeCell ref="E15:S15"/>
    <mergeCell ref="T15:AH15"/>
    <mergeCell ref="AI15:AJ15"/>
    <mergeCell ref="AI16:AJ16"/>
    <mergeCell ref="A30:D31"/>
    <mergeCell ref="E30:S30"/>
    <mergeCell ref="T30:AH30"/>
    <mergeCell ref="AI30:AJ30"/>
    <mergeCell ref="AI31:AJ3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J9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H31" activeCellId="0" sqref="H31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50"/>
    <col collapsed="false" customWidth="true" hidden="false" outlineLevel="0" max="3" min="3" style="0" width="16.87"/>
    <col collapsed="false" customWidth="true" hidden="false" outlineLevel="0" max="4" min="4" style="0" width="8.71"/>
    <col collapsed="false" customWidth="true" hidden="false" outlineLevel="0" max="19" min="5" style="0" width="5.14"/>
    <col collapsed="false" customWidth="true" hidden="false" outlineLevel="0" max="20" min="20" style="0" width="14.15"/>
    <col collapsed="false" customWidth="true" hidden="false" outlineLevel="0" max="22" min="21" style="0" width="13.43"/>
    <col collapsed="false" customWidth="true" hidden="false" outlineLevel="0" max="23" min="23" style="0" width="15.42"/>
    <col collapsed="false" customWidth="true" hidden="false" outlineLevel="0" max="24" min="24" style="0" width="13.43"/>
    <col collapsed="false" customWidth="true" hidden="false" outlineLevel="0" max="25" min="25" style="0" width="15.42"/>
    <col collapsed="false" customWidth="true" hidden="false" outlineLevel="0" max="26" min="26" style="0" width="13.43"/>
    <col collapsed="false" customWidth="true" hidden="false" outlineLevel="0" max="27" min="27" style="0" width="15.42"/>
    <col collapsed="false" customWidth="true" hidden="false" outlineLevel="0" max="28" min="28" style="0" width="15.71"/>
    <col collapsed="false" customWidth="true" hidden="false" outlineLevel="0" max="30" min="29" style="0" width="13.7"/>
    <col collapsed="false" customWidth="true" hidden="false" outlineLevel="0" max="31" min="31" style="0" width="15.71"/>
    <col collapsed="false" customWidth="true" hidden="false" outlineLevel="0" max="34" min="32" style="0" width="13.7"/>
    <col collapsed="false" customWidth="true" hidden="false" outlineLevel="0" max="35" min="35" style="0" width="9.13"/>
    <col collapsed="false" customWidth="true" hidden="false" outlineLevel="0" max="36" min="36" style="0" width="15.57"/>
  </cols>
  <sheetData>
    <row r="1" customFormat="false" ht="15.75" hidden="false" customHeight="true" outlineLevel="0" collapsed="false">
      <c r="A1" s="89" t="s">
        <v>156</v>
      </c>
      <c r="B1" s="89"/>
      <c r="C1" s="89"/>
      <c r="D1" s="89"/>
      <c r="E1" s="35" t="s">
        <v>29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6" t="s">
        <v>30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 t="s">
        <v>31</v>
      </c>
      <c r="AJ1" s="37"/>
    </row>
    <row r="2" customFormat="false" ht="15" hidden="false" customHeight="true" outlineLevel="0" collapsed="false">
      <c r="A2" s="89"/>
      <c r="B2" s="89"/>
      <c r="C2" s="89"/>
      <c r="D2" s="89"/>
      <c r="E2" s="41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3" t="n">
        <f aca="false">MROUND(SUM(T4:T10),1)</f>
        <v>746</v>
      </c>
      <c r="U2" s="43" t="n">
        <f aca="false">MROUND(SUM(U4:U10),1)</f>
        <v>764</v>
      </c>
      <c r="V2" s="43" t="n">
        <f aca="false">MROUND(SUM(V4:V10),1)</f>
        <v>927</v>
      </c>
      <c r="W2" s="43" t="n">
        <f aca="false">MROUND(SUM(W4:W10),1)</f>
        <v>764</v>
      </c>
      <c r="X2" s="43" t="n">
        <f aca="false">MROUND(SUM(X4:X10),1)</f>
        <v>781</v>
      </c>
      <c r="Y2" s="43" t="n">
        <f aca="false">MROUND(SUM(Y4:Y10),1)</f>
        <v>1460</v>
      </c>
      <c r="Z2" s="43" t="n">
        <f aca="false">MROUND(SUM(Z4:Z10),1)</f>
        <v>746</v>
      </c>
      <c r="AA2" s="43" t="n">
        <f aca="false">MROUND(SUM(AA4:AA10),1)</f>
        <v>764</v>
      </c>
      <c r="AB2" s="43" t="n">
        <f aca="false">MROUND(SUM(AB4:AB10),1)</f>
        <v>927</v>
      </c>
      <c r="AC2" s="43" t="n">
        <f aca="false">MROUND(SUM(AC4:AC10),1)</f>
        <v>798</v>
      </c>
      <c r="AD2" s="43" t="n">
        <f aca="false">MROUND(SUM(AD4:AD10),1)</f>
        <v>746</v>
      </c>
      <c r="AE2" s="43" t="n">
        <f aca="false">MROUND(SUM(AE4:AE10),1)</f>
        <v>1528</v>
      </c>
      <c r="AF2" s="43" t="n">
        <f aca="false">MROUND(SUM(AF4:AF10),1)</f>
        <v>746</v>
      </c>
      <c r="AG2" s="43" t="n">
        <f aca="false">MROUND(SUM(AG4:AG10),1)</f>
        <v>764</v>
      </c>
      <c r="AH2" s="43" t="n">
        <f aca="false">MROUND(SUM(AH4:AH10),1)</f>
        <v>961</v>
      </c>
      <c r="AI2" s="44" t="n">
        <f aca="false">SUM(T2:AH2)</f>
        <v>13422</v>
      </c>
      <c r="AJ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s">
        <v>142</v>
      </c>
      <c r="P3" s="48" t="s">
        <v>143</v>
      </c>
      <c r="Q3" s="48" t="s">
        <v>144</v>
      </c>
      <c r="R3" s="48" t="s">
        <v>145</v>
      </c>
      <c r="S3" s="48" t="s">
        <v>146</v>
      </c>
      <c r="T3" s="48" t="n">
        <v>10000</v>
      </c>
      <c r="U3" s="48" t="n">
        <v>20000</v>
      </c>
      <c r="V3" s="48" t="n">
        <v>30000</v>
      </c>
      <c r="W3" s="48" t="n">
        <v>40000</v>
      </c>
      <c r="X3" s="48" t="n">
        <v>50000</v>
      </c>
      <c r="Y3" s="48" t="n">
        <v>60000</v>
      </c>
      <c r="Z3" s="48" t="n">
        <v>70000</v>
      </c>
      <c r="AA3" s="48" t="n">
        <v>80000</v>
      </c>
      <c r="AB3" s="48" t="n">
        <v>90000</v>
      </c>
      <c r="AC3" s="48" t="n">
        <v>100000</v>
      </c>
      <c r="AD3" s="48" t="n">
        <f aca="false">AC3+10000</f>
        <v>110000</v>
      </c>
      <c r="AE3" s="48" t="n">
        <f aca="false">AD3+10000</f>
        <v>120000</v>
      </c>
      <c r="AF3" s="48" t="n">
        <f aca="false">AE3+10000</f>
        <v>130000</v>
      </c>
      <c r="AG3" s="48" t="n">
        <f aca="false">AF3+10000</f>
        <v>140000</v>
      </c>
      <c r="AH3" s="48" t="n">
        <f aca="false">AG3+10000</f>
        <v>150000</v>
      </c>
      <c r="AI3" s="51" t="n">
        <f aca="false">SUM(AI4:AI10)</f>
        <v>0.999915064818954</v>
      </c>
      <c r="AJ3" s="45" t="s">
        <v>47</v>
      </c>
    </row>
    <row r="4" customFormat="false" ht="15" hidden="false" customHeight="false" outlineLevel="0" collapsed="false">
      <c r="A4" s="52" t="n">
        <v>1</v>
      </c>
      <c r="B4" s="53" t="s">
        <v>48</v>
      </c>
      <c r="C4" s="54" t="s">
        <v>123</v>
      </c>
      <c r="D4" s="55" t="n">
        <f aca="false">VLOOKUP(C4,'[1]PREÇO ATUAL'!$A$1:$D$1048576,4,0)</f>
        <v>112.46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6" t="n">
        <v>1</v>
      </c>
      <c r="O4" s="56" t="n">
        <v>1</v>
      </c>
      <c r="P4" s="56" t="n">
        <v>1</v>
      </c>
      <c r="Q4" s="56" t="n">
        <v>1</v>
      </c>
      <c r="R4" s="56" t="n">
        <v>1</v>
      </c>
      <c r="S4" s="56" t="n">
        <v>1</v>
      </c>
      <c r="T4" s="58" t="n">
        <f aca="false">$D4*E4</f>
        <v>112.46</v>
      </c>
      <c r="U4" s="58" t="n">
        <f aca="false">$D4*F4</f>
        <v>112.46</v>
      </c>
      <c r="V4" s="58" t="n">
        <f aca="false">$D4*G4</f>
        <v>112.46</v>
      </c>
      <c r="W4" s="58" t="n">
        <f aca="false">$D4*H4</f>
        <v>112.46</v>
      </c>
      <c r="X4" s="58" t="n">
        <f aca="false">$D4*I4</f>
        <v>112.46</v>
      </c>
      <c r="Y4" s="58" t="n">
        <f aca="false">$D4*J4</f>
        <v>112.46</v>
      </c>
      <c r="Z4" s="58" t="n">
        <f aca="false">$D4*K4</f>
        <v>112.46</v>
      </c>
      <c r="AA4" s="58" t="n">
        <f aca="false">$D4*L4</f>
        <v>112.46</v>
      </c>
      <c r="AB4" s="58" t="n">
        <f aca="false">$D4*M4</f>
        <v>112.46</v>
      </c>
      <c r="AC4" s="91" t="n">
        <f aca="false">$D4*N4</f>
        <v>112.46</v>
      </c>
      <c r="AD4" s="91" t="n">
        <f aca="false">$D4*O4</f>
        <v>112.46</v>
      </c>
      <c r="AE4" s="91" t="n">
        <f aca="false">$D4*P4</f>
        <v>112.46</v>
      </c>
      <c r="AF4" s="91" t="n">
        <f aca="false">$D4*Q4</f>
        <v>112.46</v>
      </c>
      <c r="AG4" s="91" t="n">
        <f aca="false">$D4*R4</f>
        <v>112.46</v>
      </c>
      <c r="AH4" s="91" t="n">
        <f aca="false">$D4*S4</f>
        <v>112.46</v>
      </c>
      <c r="AI4" s="94" t="n">
        <f aca="false">AJ4/$AI$2</f>
        <v>0.125681716584712</v>
      </c>
      <c r="AJ4" s="58" t="n">
        <f aca="false">SUM(T4:AH4)</f>
        <v>1686.9</v>
      </c>
    </row>
    <row r="5" customFormat="false" ht="15" hidden="false" customHeight="false" outlineLevel="0" collapsed="false">
      <c r="A5" s="60" t="n">
        <v>2</v>
      </c>
      <c r="B5" s="61" t="s">
        <v>50</v>
      </c>
      <c r="C5" s="62" t="s">
        <v>124</v>
      </c>
      <c r="D5" s="63" t="n">
        <f aca="false">VLOOKUP(C5,'[1]PREÇO ATUAL'!$A$1:$D$1048576,4,0)</f>
        <v>35.9</v>
      </c>
      <c r="E5" s="64" t="n">
        <v>1</v>
      </c>
      <c r="F5" s="64" t="n">
        <v>1</v>
      </c>
      <c r="G5" s="64" t="n">
        <v>1</v>
      </c>
      <c r="H5" s="64" t="n">
        <v>1</v>
      </c>
      <c r="I5" s="65" t="n">
        <v>1</v>
      </c>
      <c r="J5" s="65" t="n">
        <v>1</v>
      </c>
      <c r="K5" s="65" t="n">
        <v>1</v>
      </c>
      <c r="L5" s="65" t="n">
        <v>1</v>
      </c>
      <c r="M5" s="65" t="n">
        <v>1</v>
      </c>
      <c r="N5" s="64" t="n">
        <v>1</v>
      </c>
      <c r="O5" s="64" t="n">
        <v>1</v>
      </c>
      <c r="P5" s="64" t="n">
        <v>1</v>
      </c>
      <c r="Q5" s="64" t="n">
        <v>1</v>
      </c>
      <c r="R5" s="64" t="n">
        <v>1</v>
      </c>
      <c r="S5" s="64" t="n">
        <v>1</v>
      </c>
      <c r="T5" s="66" t="n">
        <f aca="false">$D5*E5</f>
        <v>35.9</v>
      </c>
      <c r="U5" s="66" t="n">
        <f aca="false">$D5*F5</f>
        <v>35.9</v>
      </c>
      <c r="V5" s="66" t="n">
        <f aca="false">$D5*G5</f>
        <v>35.9</v>
      </c>
      <c r="W5" s="66" t="n">
        <f aca="false">$D5*H5</f>
        <v>35.9</v>
      </c>
      <c r="X5" s="66" t="n">
        <f aca="false">$D5*I5</f>
        <v>35.9</v>
      </c>
      <c r="Y5" s="66" t="n">
        <f aca="false">$D5*J5</f>
        <v>35.9</v>
      </c>
      <c r="Z5" s="66" t="n">
        <f aca="false">$D5*K5</f>
        <v>35.9</v>
      </c>
      <c r="AA5" s="66" t="n">
        <f aca="false">$D5*L5</f>
        <v>35.9</v>
      </c>
      <c r="AB5" s="66" t="n">
        <f aca="false">$D5*M5</f>
        <v>35.9</v>
      </c>
      <c r="AC5" s="92" t="n">
        <f aca="false">$D5*N5</f>
        <v>35.9</v>
      </c>
      <c r="AD5" s="92" t="n">
        <f aca="false">$D5*O5</f>
        <v>35.9</v>
      </c>
      <c r="AE5" s="92" t="n">
        <f aca="false">$D5*P5</f>
        <v>35.9</v>
      </c>
      <c r="AF5" s="92" t="n">
        <f aca="false">$D5*Q5</f>
        <v>35.9</v>
      </c>
      <c r="AG5" s="92" t="n">
        <f aca="false">$D5*R5</f>
        <v>35.9</v>
      </c>
      <c r="AH5" s="92" t="n">
        <f aca="false">$D5*S5</f>
        <v>35.9</v>
      </c>
      <c r="AI5" s="95" t="n">
        <f aca="false">AJ5/$AI$2</f>
        <v>0.0401206973625391</v>
      </c>
      <c r="AJ5" s="66" t="n">
        <f aca="false">SUM(T5:AH5)</f>
        <v>538.5</v>
      </c>
    </row>
    <row r="6" customFormat="false" ht="15" hidden="false" customHeight="false" outlineLevel="0" collapsed="false">
      <c r="A6" s="52" t="n">
        <v>3</v>
      </c>
      <c r="B6" s="53" t="s">
        <v>52</v>
      </c>
      <c r="C6" s="54" t="s">
        <v>125</v>
      </c>
      <c r="D6" s="55" t="n">
        <f aca="false">VLOOKUP(C6,'[1]PREÇO ATUAL'!$A$1:$D$1048576,4,0)</f>
        <v>180.21</v>
      </c>
      <c r="E6" s="56"/>
      <c r="F6" s="56"/>
      <c r="G6" s="56" t="n">
        <v>1</v>
      </c>
      <c r="H6" s="56"/>
      <c r="I6" s="57"/>
      <c r="J6" s="57" t="n">
        <v>1</v>
      </c>
      <c r="K6" s="57"/>
      <c r="L6" s="57"/>
      <c r="M6" s="57" t="n">
        <v>1</v>
      </c>
      <c r="N6" s="56"/>
      <c r="O6" s="80"/>
      <c r="P6" s="57" t="n">
        <v>1</v>
      </c>
      <c r="Q6" s="57"/>
      <c r="R6" s="57"/>
      <c r="S6" s="57" t="n">
        <v>1</v>
      </c>
      <c r="T6" s="58" t="n">
        <f aca="false">$D6*E6</f>
        <v>0</v>
      </c>
      <c r="U6" s="58" t="n">
        <f aca="false">$D6*F6</f>
        <v>0</v>
      </c>
      <c r="V6" s="58" t="n">
        <f aca="false">$D6*G6</f>
        <v>180.21</v>
      </c>
      <c r="W6" s="58" t="n">
        <f aca="false">$D6*H6</f>
        <v>0</v>
      </c>
      <c r="X6" s="58" t="n">
        <f aca="false">$D6*I6</f>
        <v>0</v>
      </c>
      <c r="Y6" s="58" t="n">
        <f aca="false">$D6*J6</f>
        <v>180.21</v>
      </c>
      <c r="Z6" s="58" t="n">
        <f aca="false">$D6*K6</f>
        <v>0</v>
      </c>
      <c r="AA6" s="58" t="n">
        <f aca="false">$D6*L6</f>
        <v>0</v>
      </c>
      <c r="AB6" s="58" t="n">
        <f aca="false">$D6*M6</f>
        <v>180.21</v>
      </c>
      <c r="AC6" s="91" t="n">
        <f aca="false">$D6*N6</f>
        <v>0</v>
      </c>
      <c r="AD6" s="91" t="n">
        <f aca="false">$D6*O6</f>
        <v>0</v>
      </c>
      <c r="AE6" s="91" t="n">
        <f aca="false">$D6*P6</f>
        <v>180.21</v>
      </c>
      <c r="AF6" s="91" t="n">
        <f aca="false">$D6*Q6</f>
        <v>0</v>
      </c>
      <c r="AG6" s="91" t="n">
        <f aca="false">$D6*R6</f>
        <v>0</v>
      </c>
      <c r="AH6" s="91" t="n">
        <f aca="false">$D6*S6</f>
        <v>180.21</v>
      </c>
      <c r="AI6" s="94" t="n">
        <f aca="false">AJ6/$AI$2</f>
        <v>0.0671323200715244</v>
      </c>
      <c r="AJ6" s="58" t="n">
        <f aca="false">SUM(T6:AH6)</f>
        <v>901.05</v>
      </c>
    </row>
    <row r="7" customFormat="false" ht="15" hidden="false" customHeight="false" outlineLevel="0" collapsed="false">
      <c r="A7" s="60" t="n">
        <v>4</v>
      </c>
      <c r="B7" s="61" t="s">
        <v>54</v>
      </c>
      <c r="C7" s="62" t="s">
        <v>126</v>
      </c>
      <c r="D7" s="63" t="n">
        <f aca="false">VLOOKUP(C7,'[1]PREÇO ATUAL'!$A$1:$D$1048576,4,0)</f>
        <v>155.01</v>
      </c>
      <c r="E7" s="64"/>
      <c r="F7" s="64"/>
      <c r="G7" s="64"/>
      <c r="H7" s="64"/>
      <c r="I7" s="65"/>
      <c r="J7" s="65" t="n">
        <v>3</v>
      </c>
      <c r="K7" s="65"/>
      <c r="L7" s="65"/>
      <c r="M7" s="65"/>
      <c r="N7" s="64"/>
      <c r="O7" s="79"/>
      <c r="P7" s="65" t="n">
        <v>3</v>
      </c>
      <c r="Q7" s="65"/>
      <c r="R7" s="65"/>
      <c r="S7" s="65"/>
      <c r="T7" s="66" t="n">
        <f aca="false">$D7*E7</f>
        <v>0</v>
      </c>
      <c r="U7" s="66" t="n">
        <f aca="false">$D7*F7</f>
        <v>0</v>
      </c>
      <c r="V7" s="66" t="n">
        <f aca="false">$D7*G7</f>
        <v>0</v>
      </c>
      <c r="W7" s="66" t="n">
        <f aca="false">$D7*H7</f>
        <v>0</v>
      </c>
      <c r="X7" s="66" t="n">
        <f aca="false">$D7*I7</f>
        <v>0</v>
      </c>
      <c r="Y7" s="66" t="n">
        <f aca="false">$D7*J7</f>
        <v>465.03</v>
      </c>
      <c r="Z7" s="66" t="n">
        <f aca="false">$D7*K7</f>
        <v>0</v>
      </c>
      <c r="AA7" s="66" t="n">
        <f aca="false">$D7*L7</f>
        <v>0</v>
      </c>
      <c r="AB7" s="66" t="n">
        <f aca="false">$D7*M7</f>
        <v>0</v>
      </c>
      <c r="AC7" s="92" t="n">
        <f aca="false">$D7*N7</f>
        <v>0</v>
      </c>
      <c r="AD7" s="92" t="n">
        <f aca="false">$D7*O7</f>
        <v>0</v>
      </c>
      <c r="AE7" s="92" t="n">
        <f aca="false">$D7*P7</f>
        <v>465.03</v>
      </c>
      <c r="AF7" s="92" t="n">
        <f aca="false">$D7*Q7</f>
        <v>0</v>
      </c>
      <c r="AG7" s="92" t="n">
        <f aca="false">$D7*R7</f>
        <v>0</v>
      </c>
      <c r="AH7" s="92" t="n">
        <f aca="false">$D7*S7</f>
        <v>0</v>
      </c>
      <c r="AI7" s="95" t="n">
        <f aca="false">AJ7/$AI$2</f>
        <v>0.0692936969155118</v>
      </c>
      <c r="AJ7" s="66" t="n">
        <f aca="false">SUM(T7:AH7)</f>
        <v>930.06</v>
      </c>
    </row>
    <row r="8" customFormat="false" ht="15" hidden="false" customHeight="false" outlineLevel="0" collapsed="false">
      <c r="A8" s="52" t="n">
        <v>5</v>
      </c>
      <c r="B8" s="53" t="s">
        <v>60</v>
      </c>
      <c r="C8" s="54" t="s">
        <v>61</v>
      </c>
      <c r="D8" s="55" t="n">
        <f aca="false">VLOOKUP(C8,'[1]PREÇO ATUAL'!$A$1:$D$1048576,4,0)</f>
        <v>33.6224930838505</v>
      </c>
      <c r="E8" s="56"/>
      <c r="F8" s="56"/>
      <c r="G8" s="56"/>
      <c r="H8" s="56"/>
      <c r="I8" s="57"/>
      <c r="J8" s="57"/>
      <c r="K8" s="57"/>
      <c r="L8" s="57"/>
      <c r="M8" s="57"/>
      <c r="N8" s="56"/>
      <c r="O8" s="80"/>
      <c r="P8" s="57"/>
      <c r="Q8" s="57"/>
      <c r="R8" s="57"/>
      <c r="S8" s="57"/>
      <c r="T8" s="58" t="n">
        <f aca="false">$D8*E8</f>
        <v>0</v>
      </c>
      <c r="U8" s="58" t="n">
        <f aca="false">$D8*F8</f>
        <v>0</v>
      </c>
      <c r="V8" s="58" t="n">
        <f aca="false">$D8*G8</f>
        <v>0</v>
      </c>
      <c r="W8" s="58" t="n">
        <f aca="false">$D8*H8</f>
        <v>0</v>
      </c>
      <c r="X8" s="58" t="n">
        <f aca="false">$D8*I8</f>
        <v>0</v>
      </c>
      <c r="Y8" s="58" t="n">
        <f aca="false">$D8*J8</f>
        <v>0</v>
      </c>
      <c r="Z8" s="58" t="n">
        <f aca="false">$D8*K8</f>
        <v>0</v>
      </c>
      <c r="AA8" s="58" t="n">
        <f aca="false">$D8*L8</f>
        <v>0</v>
      </c>
      <c r="AB8" s="58" t="n">
        <f aca="false">$D8*M8</f>
        <v>0</v>
      </c>
      <c r="AC8" s="91" t="n">
        <f aca="false">$D8*N8</f>
        <v>0</v>
      </c>
      <c r="AD8" s="91" t="n">
        <f aca="false">$D8*O8</f>
        <v>0</v>
      </c>
      <c r="AE8" s="91" t="n">
        <f aca="false">$D8*P8</f>
        <v>0</v>
      </c>
      <c r="AF8" s="91" t="n">
        <f aca="false">$D8*Q8</f>
        <v>0</v>
      </c>
      <c r="AG8" s="91" t="n">
        <f aca="false">$D8*R8</f>
        <v>0</v>
      </c>
      <c r="AH8" s="91" t="n">
        <f aca="false">$D8*S8</f>
        <v>0</v>
      </c>
      <c r="AI8" s="94" t="n">
        <f aca="false">AJ8/$AI$2</f>
        <v>0</v>
      </c>
      <c r="AJ8" s="58" t="n">
        <f aca="false">SUM(T8:AH8)</f>
        <v>0</v>
      </c>
    </row>
    <row r="9" customFormat="false" ht="15" hidden="false" customHeight="false" outlineLevel="0" collapsed="false">
      <c r="A9" s="60" t="n">
        <v>6</v>
      </c>
      <c r="B9" s="61" t="s">
        <v>127</v>
      </c>
      <c r="C9" s="62" t="s">
        <v>128</v>
      </c>
      <c r="D9" s="63" t="n">
        <f aca="false">VLOOKUP(C9,'[1]PREÇO ATUAL'!$A$1:$D$1048576,4,0)</f>
        <v>87.82</v>
      </c>
      <c r="E9" s="82" t="n">
        <v>3.5</v>
      </c>
      <c r="F9" s="82" t="n">
        <v>3.5</v>
      </c>
      <c r="G9" s="82" t="n">
        <v>3.5</v>
      </c>
      <c r="H9" s="82" t="n">
        <v>3.5</v>
      </c>
      <c r="I9" s="82" t="n">
        <v>3.5</v>
      </c>
      <c r="J9" s="82" t="n">
        <v>3.5</v>
      </c>
      <c r="K9" s="82" t="n">
        <v>3.5</v>
      </c>
      <c r="L9" s="82" t="n">
        <v>3.5</v>
      </c>
      <c r="M9" s="82" t="n">
        <v>3.5</v>
      </c>
      <c r="N9" s="82" t="n">
        <v>3.5</v>
      </c>
      <c r="O9" s="82" t="n">
        <v>3.5</v>
      </c>
      <c r="P9" s="82" t="n">
        <v>3.5</v>
      </c>
      <c r="Q9" s="82" t="n">
        <v>3.5</v>
      </c>
      <c r="R9" s="82" t="n">
        <v>3.5</v>
      </c>
      <c r="S9" s="82" t="n">
        <v>3.5</v>
      </c>
      <c r="T9" s="66" t="n">
        <f aca="false">$D9*E9</f>
        <v>307.37</v>
      </c>
      <c r="U9" s="66" t="n">
        <f aca="false">$D9*F9</f>
        <v>307.37</v>
      </c>
      <c r="V9" s="66" t="n">
        <f aca="false">$D9*G9</f>
        <v>307.37</v>
      </c>
      <c r="W9" s="66" t="n">
        <f aca="false">$D9*H9</f>
        <v>307.37</v>
      </c>
      <c r="X9" s="66" t="n">
        <f aca="false">$D9*I9</f>
        <v>307.37</v>
      </c>
      <c r="Y9" s="66" t="n">
        <f aca="false">$D9*J9</f>
        <v>307.37</v>
      </c>
      <c r="Z9" s="66" t="n">
        <f aca="false">$D9*K9</f>
        <v>307.37</v>
      </c>
      <c r="AA9" s="66" t="n">
        <f aca="false">$D9*L9</f>
        <v>307.37</v>
      </c>
      <c r="AB9" s="66" t="n">
        <f aca="false">$D9*M9</f>
        <v>307.37</v>
      </c>
      <c r="AC9" s="92" t="n">
        <f aca="false">$D9*N9</f>
        <v>307.37</v>
      </c>
      <c r="AD9" s="92" t="n">
        <f aca="false">$D9*O9</f>
        <v>307.37</v>
      </c>
      <c r="AE9" s="92" t="n">
        <f aca="false">$D9*P9</f>
        <v>307.37</v>
      </c>
      <c r="AF9" s="92" t="n">
        <f aca="false">$D9*Q9</f>
        <v>307.37</v>
      </c>
      <c r="AG9" s="92" t="n">
        <f aca="false">$D9*R9</f>
        <v>307.37</v>
      </c>
      <c r="AH9" s="92" t="n">
        <f aca="false">$D9*S9</f>
        <v>307.37</v>
      </c>
      <c r="AI9" s="95" t="n">
        <f aca="false">AJ9/$AI$2</f>
        <v>0.343506928922664</v>
      </c>
      <c r="AJ9" s="66" t="n">
        <f aca="false">SUM(T9:AH9)</f>
        <v>4610.55</v>
      </c>
    </row>
    <row r="10" customFormat="false" ht="15" hidden="false" customHeight="false" outlineLevel="0" collapsed="false">
      <c r="A10" s="52" t="n">
        <v>7</v>
      </c>
      <c r="B10" s="53" t="s">
        <v>64</v>
      </c>
      <c r="C10" s="54" t="s">
        <v>65</v>
      </c>
      <c r="D10" s="55" t="n">
        <f aca="false">VLOOKUP(C10,'[1]PREÇO ATUAL'!$A$1:$D$1048576,4,0)</f>
        <v>342</v>
      </c>
      <c r="E10" s="69" t="n">
        <v>0.85</v>
      </c>
      <c r="F10" s="69" t="n">
        <v>0.9</v>
      </c>
      <c r="G10" s="69" t="n">
        <v>0.85</v>
      </c>
      <c r="H10" s="69" t="n">
        <v>0.9</v>
      </c>
      <c r="I10" s="55" t="n">
        <v>0.95</v>
      </c>
      <c r="J10" s="55" t="n">
        <v>1.05</v>
      </c>
      <c r="K10" s="55" t="n">
        <v>0.85</v>
      </c>
      <c r="L10" s="55" t="n">
        <v>0.9</v>
      </c>
      <c r="M10" s="55" t="n">
        <v>0.85</v>
      </c>
      <c r="N10" s="69" t="n">
        <v>1</v>
      </c>
      <c r="O10" s="121" t="n">
        <v>0.85</v>
      </c>
      <c r="P10" s="55" t="n">
        <v>1.25</v>
      </c>
      <c r="Q10" s="55" t="n">
        <v>0.85</v>
      </c>
      <c r="R10" s="55" t="n">
        <v>0.9</v>
      </c>
      <c r="S10" s="55" t="n">
        <v>0.95</v>
      </c>
      <c r="T10" s="58" t="n">
        <f aca="false">D10*E10</f>
        <v>290.7</v>
      </c>
      <c r="U10" s="58" t="n">
        <f aca="false">$D10*F10</f>
        <v>307.8</v>
      </c>
      <c r="V10" s="58" t="n">
        <f aca="false">$D10*G10</f>
        <v>290.7</v>
      </c>
      <c r="W10" s="58" t="n">
        <f aca="false">$D10*H10</f>
        <v>307.8</v>
      </c>
      <c r="X10" s="58" t="n">
        <f aca="false">$D10*I10</f>
        <v>324.9</v>
      </c>
      <c r="Y10" s="58" t="n">
        <f aca="false">$D10*J10</f>
        <v>359.1</v>
      </c>
      <c r="Z10" s="58" t="n">
        <f aca="false">$D10*K10</f>
        <v>290.7</v>
      </c>
      <c r="AA10" s="58" t="n">
        <f aca="false">$D10*L10</f>
        <v>307.8</v>
      </c>
      <c r="AB10" s="58" t="n">
        <f aca="false">$D10*M10</f>
        <v>290.7</v>
      </c>
      <c r="AC10" s="91" t="n">
        <f aca="false">$D10*N10</f>
        <v>342</v>
      </c>
      <c r="AD10" s="91" t="n">
        <f aca="false">$D10*O10</f>
        <v>290.7</v>
      </c>
      <c r="AE10" s="91" t="n">
        <f aca="false">$D10*P10</f>
        <v>427.5</v>
      </c>
      <c r="AF10" s="91" t="n">
        <f aca="false">$D10*Q10</f>
        <v>290.7</v>
      </c>
      <c r="AG10" s="91" t="n">
        <f aca="false">$D10*R10</f>
        <v>307.8</v>
      </c>
      <c r="AH10" s="91" t="n">
        <f aca="false">$D10*S10</f>
        <v>324.9</v>
      </c>
      <c r="AI10" s="94" t="n">
        <f aca="false">AJ10/$AI$2</f>
        <v>0.354179704962003</v>
      </c>
      <c r="AJ10" s="58" t="n">
        <f aca="false">SUM(T10:AH10)</f>
        <v>4753.8</v>
      </c>
    </row>
    <row r="11" customFormat="false" ht="15" hidden="false" customHeight="false" outlineLevel="0" collapsed="false">
      <c r="H11" s="71"/>
    </row>
    <row r="12" customFormat="false" ht="15.75" hidden="false" customHeight="true" outlineLevel="0" collapsed="false">
      <c r="A12" s="89" t="s">
        <v>157</v>
      </c>
      <c r="B12" s="89"/>
      <c r="C12" s="89"/>
      <c r="D12" s="89"/>
      <c r="E12" s="35" t="s">
        <v>29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6" t="s">
        <v>30</v>
      </c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7" t="s">
        <v>31</v>
      </c>
      <c r="AJ12" s="37"/>
    </row>
    <row r="13" customFormat="false" ht="15" hidden="false" customHeight="true" outlineLevel="0" collapsed="false">
      <c r="A13" s="89"/>
      <c r="B13" s="89"/>
      <c r="C13" s="89"/>
      <c r="D13" s="89"/>
      <c r="E13" s="41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3" t="n">
        <f aca="false">MROUND(SUM(T15:T22),1)</f>
        <v>746</v>
      </c>
      <c r="U13" s="43" t="n">
        <f aca="false">MROUND(SUM(U15:U22),1)</f>
        <v>764</v>
      </c>
      <c r="V13" s="43" t="n">
        <f aca="false">MROUND(SUM(V15:V22),1)</f>
        <v>927</v>
      </c>
      <c r="W13" s="43" t="n">
        <f aca="false">MROUND(SUM(W15:W22),1)</f>
        <v>764</v>
      </c>
      <c r="X13" s="43" t="n">
        <f aca="false">MROUND(SUM(X15:X22),1)</f>
        <v>781</v>
      </c>
      <c r="Y13" s="43" t="n">
        <f aca="false">MROUND(SUM(Y15:Y22),1)</f>
        <v>1460</v>
      </c>
      <c r="Z13" s="43" t="n">
        <f aca="false">MROUND(SUM(Z15:Z22),1)</f>
        <v>746</v>
      </c>
      <c r="AA13" s="43" t="n">
        <f aca="false">MROUND(SUM(AA15:AA22),1)</f>
        <v>764</v>
      </c>
      <c r="AB13" s="43" t="n">
        <f aca="false">MROUND(SUM(AB15:AB22),1)</f>
        <v>927</v>
      </c>
      <c r="AC13" s="43" t="n">
        <f aca="false">MROUND(SUM(AC15:AC22),1)</f>
        <v>798</v>
      </c>
      <c r="AD13" s="43" t="n">
        <f aca="false">MROUND(SUM(AD15:AD22),1)</f>
        <v>746</v>
      </c>
      <c r="AE13" s="43" t="n">
        <f aca="false">MROUND(SUM(AE15:AE22),1)</f>
        <v>1860</v>
      </c>
      <c r="AF13" s="43" t="n">
        <f aca="false">MROUND(SUM(AF15:AF22),1)</f>
        <v>746</v>
      </c>
      <c r="AG13" s="43" t="n">
        <f aca="false">MROUND(SUM(AG15:AG22),1)</f>
        <v>764</v>
      </c>
      <c r="AH13" s="43" t="n">
        <f aca="false">MROUND(SUM(AH15:AH22),1)</f>
        <v>961</v>
      </c>
      <c r="AI13" s="44" t="n">
        <f aca="false">SUM(T13:AH13)</f>
        <v>13754</v>
      </c>
      <c r="AJ13" s="44"/>
    </row>
    <row r="14" customFormat="false" ht="15" hidden="false" customHeight="false" outlineLevel="0" collapsed="false">
      <c r="A14" s="45" t="s">
        <v>32</v>
      </c>
      <c r="B14" s="45" t="s">
        <v>33</v>
      </c>
      <c r="C14" s="45" t="s">
        <v>34</v>
      </c>
      <c r="D14" s="47" t="s">
        <v>35</v>
      </c>
      <c r="E14" s="48" t="s">
        <v>36</v>
      </c>
      <c r="F14" s="48" t="s">
        <v>37</v>
      </c>
      <c r="G14" s="48" t="s">
        <v>38</v>
      </c>
      <c r="H14" s="48" t="s">
        <v>39</v>
      </c>
      <c r="I14" s="48" t="s">
        <v>40</v>
      </c>
      <c r="J14" s="48" t="s">
        <v>41</v>
      </c>
      <c r="K14" s="48" t="s">
        <v>42</v>
      </c>
      <c r="L14" s="48" t="s">
        <v>43</v>
      </c>
      <c r="M14" s="48" t="s">
        <v>44</v>
      </c>
      <c r="N14" s="48" t="s">
        <v>45</v>
      </c>
      <c r="O14" s="48" t="s">
        <v>142</v>
      </c>
      <c r="P14" s="48" t="s">
        <v>143</v>
      </c>
      <c r="Q14" s="48" t="s">
        <v>144</v>
      </c>
      <c r="R14" s="48" t="s">
        <v>145</v>
      </c>
      <c r="S14" s="48" t="s">
        <v>146</v>
      </c>
      <c r="T14" s="48" t="n">
        <v>10000</v>
      </c>
      <c r="U14" s="48" t="n">
        <v>20000</v>
      </c>
      <c r="V14" s="48" t="n">
        <v>30000</v>
      </c>
      <c r="W14" s="48" t="n">
        <v>40000</v>
      </c>
      <c r="X14" s="48" t="n">
        <v>50000</v>
      </c>
      <c r="Y14" s="48" t="n">
        <v>60000</v>
      </c>
      <c r="Z14" s="48" t="n">
        <v>70000</v>
      </c>
      <c r="AA14" s="48" t="n">
        <v>80000</v>
      </c>
      <c r="AB14" s="48" t="n">
        <v>90000</v>
      </c>
      <c r="AC14" s="48" t="n">
        <v>100000</v>
      </c>
      <c r="AD14" s="48" t="n">
        <f aca="false">AC14+10000</f>
        <v>110000</v>
      </c>
      <c r="AE14" s="48" t="n">
        <f aca="false">AD14+10000</f>
        <v>120000</v>
      </c>
      <c r="AF14" s="48" t="n">
        <f aca="false">AE14+10000</f>
        <v>130000</v>
      </c>
      <c r="AG14" s="48" t="n">
        <f aca="false">AF14+10000</f>
        <v>140000</v>
      </c>
      <c r="AH14" s="48" t="n">
        <f aca="false">AG14+10000</f>
        <v>150000</v>
      </c>
      <c r="AI14" s="51" t="n">
        <f aca="false">SUM(AI15:AI22)</f>
        <v>1.02464731336612</v>
      </c>
      <c r="AJ14" s="45" t="s">
        <v>47</v>
      </c>
    </row>
    <row r="15" customFormat="false" ht="15" hidden="false" customHeight="false" outlineLevel="0" collapsed="false">
      <c r="A15" s="52" t="n">
        <v>1</v>
      </c>
      <c r="B15" s="53" t="s">
        <v>48</v>
      </c>
      <c r="C15" s="54" t="s">
        <v>123</v>
      </c>
      <c r="D15" s="55" t="n">
        <f aca="false">VLOOKUP(C15,'[1]PREÇO ATUAL'!$A$1:$D$1048576,4,0)</f>
        <v>112.46</v>
      </c>
      <c r="E15" s="56" t="n">
        <v>1</v>
      </c>
      <c r="F15" s="56" t="n">
        <v>1</v>
      </c>
      <c r="G15" s="56" t="n">
        <v>1</v>
      </c>
      <c r="H15" s="56" t="n">
        <v>1</v>
      </c>
      <c r="I15" s="57" t="n">
        <v>1</v>
      </c>
      <c r="J15" s="57" t="n">
        <v>1</v>
      </c>
      <c r="K15" s="57" t="n">
        <v>1</v>
      </c>
      <c r="L15" s="57" t="n">
        <v>1</v>
      </c>
      <c r="M15" s="57" t="n">
        <v>1</v>
      </c>
      <c r="N15" s="56" t="n">
        <v>1</v>
      </c>
      <c r="O15" s="56" t="n">
        <v>1</v>
      </c>
      <c r="P15" s="56" t="n">
        <v>1</v>
      </c>
      <c r="Q15" s="56" t="n">
        <v>1</v>
      </c>
      <c r="R15" s="56" t="n">
        <v>1</v>
      </c>
      <c r="S15" s="56" t="n">
        <v>1</v>
      </c>
      <c r="T15" s="58" t="n">
        <f aca="false">$D15*E15</f>
        <v>112.46</v>
      </c>
      <c r="U15" s="58" t="n">
        <f aca="false">$D15*F15</f>
        <v>112.46</v>
      </c>
      <c r="V15" s="58" t="n">
        <f aca="false">$D15*G15</f>
        <v>112.46</v>
      </c>
      <c r="W15" s="58" t="n">
        <f aca="false">$D15*H15</f>
        <v>112.46</v>
      </c>
      <c r="X15" s="58" t="n">
        <f aca="false">$D15*I15</f>
        <v>112.46</v>
      </c>
      <c r="Y15" s="58" t="n">
        <f aca="false">$D15*J15</f>
        <v>112.46</v>
      </c>
      <c r="Z15" s="58" t="n">
        <f aca="false">$D15*K15</f>
        <v>112.46</v>
      </c>
      <c r="AA15" s="58" t="n">
        <f aca="false">$D15*L15</f>
        <v>112.46</v>
      </c>
      <c r="AB15" s="58" t="n">
        <f aca="false">$D15*M15</f>
        <v>112.46</v>
      </c>
      <c r="AC15" s="91" t="n">
        <f aca="false">$D15*N15</f>
        <v>112.46</v>
      </c>
      <c r="AD15" s="91" t="n">
        <f aca="false">$D15*O15</f>
        <v>112.46</v>
      </c>
      <c r="AE15" s="91" t="n">
        <f aca="false">$D15*P15</f>
        <v>112.46</v>
      </c>
      <c r="AF15" s="91" t="n">
        <f aca="false">$D15*Q15</f>
        <v>112.46</v>
      </c>
      <c r="AG15" s="91" t="n">
        <f aca="false">$D15*R15</f>
        <v>112.46</v>
      </c>
      <c r="AH15" s="91" t="n">
        <f aca="false">$D15*S15</f>
        <v>112.46</v>
      </c>
      <c r="AI15" s="94" t="n">
        <f aca="false">AJ15/$AI$2</f>
        <v>0.125681716584712</v>
      </c>
      <c r="AJ15" s="58" t="n">
        <f aca="false">SUM(T15:AH15)</f>
        <v>1686.9</v>
      </c>
    </row>
    <row r="16" customFormat="false" ht="15" hidden="false" customHeight="false" outlineLevel="0" collapsed="false">
      <c r="A16" s="60" t="n">
        <v>2</v>
      </c>
      <c r="B16" s="61" t="s">
        <v>50</v>
      </c>
      <c r="C16" s="62" t="s">
        <v>124</v>
      </c>
      <c r="D16" s="63" t="n">
        <f aca="false">VLOOKUP(C16,'[1]PREÇO ATUAL'!$A$1:$D$1048576,4,0)</f>
        <v>35.9</v>
      </c>
      <c r="E16" s="64" t="n">
        <v>1</v>
      </c>
      <c r="F16" s="64" t="n">
        <v>1</v>
      </c>
      <c r="G16" s="64" t="n">
        <v>1</v>
      </c>
      <c r="H16" s="64" t="n">
        <v>1</v>
      </c>
      <c r="I16" s="65" t="n">
        <v>1</v>
      </c>
      <c r="J16" s="65" t="n">
        <v>1</v>
      </c>
      <c r="K16" s="65" t="n">
        <v>1</v>
      </c>
      <c r="L16" s="65" t="n">
        <v>1</v>
      </c>
      <c r="M16" s="65" t="n">
        <v>1</v>
      </c>
      <c r="N16" s="64" t="n">
        <v>1</v>
      </c>
      <c r="O16" s="64" t="n">
        <v>1</v>
      </c>
      <c r="P16" s="64" t="n">
        <v>1</v>
      </c>
      <c r="Q16" s="64" t="n">
        <v>1</v>
      </c>
      <c r="R16" s="64" t="n">
        <v>1</v>
      </c>
      <c r="S16" s="64" t="n">
        <v>1</v>
      </c>
      <c r="T16" s="66" t="n">
        <f aca="false">$D16*E16</f>
        <v>35.9</v>
      </c>
      <c r="U16" s="66" t="n">
        <f aca="false">$D16*F16</f>
        <v>35.9</v>
      </c>
      <c r="V16" s="66" t="n">
        <f aca="false">$D16*G16</f>
        <v>35.9</v>
      </c>
      <c r="W16" s="66" t="n">
        <f aca="false">$D16*H16</f>
        <v>35.9</v>
      </c>
      <c r="X16" s="66" t="n">
        <f aca="false">$D16*I16</f>
        <v>35.9</v>
      </c>
      <c r="Y16" s="66" t="n">
        <f aca="false">$D16*J16</f>
        <v>35.9</v>
      </c>
      <c r="Z16" s="66" t="n">
        <f aca="false">$D16*K16</f>
        <v>35.9</v>
      </c>
      <c r="AA16" s="66" t="n">
        <f aca="false">$D16*L16</f>
        <v>35.9</v>
      </c>
      <c r="AB16" s="66" t="n">
        <f aca="false">$D16*M16</f>
        <v>35.9</v>
      </c>
      <c r="AC16" s="92" t="n">
        <f aca="false">$D16*N16</f>
        <v>35.9</v>
      </c>
      <c r="AD16" s="92" t="n">
        <f aca="false">$D16*O16</f>
        <v>35.9</v>
      </c>
      <c r="AE16" s="92" t="n">
        <f aca="false">$D16*P16</f>
        <v>35.9</v>
      </c>
      <c r="AF16" s="92" t="n">
        <f aca="false">$D16*Q16</f>
        <v>35.9</v>
      </c>
      <c r="AG16" s="92" t="n">
        <f aca="false">$D16*R16</f>
        <v>35.9</v>
      </c>
      <c r="AH16" s="92" t="n">
        <f aca="false">$D16*S16</f>
        <v>35.9</v>
      </c>
      <c r="AI16" s="95" t="n">
        <f aca="false">AJ16/$AI$2</f>
        <v>0.0401206973625391</v>
      </c>
      <c r="AJ16" s="66" t="n">
        <f aca="false">SUM(T16:AH16)</f>
        <v>538.5</v>
      </c>
    </row>
    <row r="17" customFormat="false" ht="15" hidden="false" customHeight="false" outlineLevel="0" collapsed="false">
      <c r="A17" s="52" t="n">
        <v>3</v>
      </c>
      <c r="B17" s="53" t="s">
        <v>52</v>
      </c>
      <c r="C17" s="54" t="s">
        <v>125</v>
      </c>
      <c r="D17" s="55" t="n">
        <f aca="false">VLOOKUP(C17,'[1]PREÇO ATUAL'!$A$1:$D$1048576,4,0)</f>
        <v>180.21</v>
      </c>
      <c r="E17" s="56"/>
      <c r="F17" s="56"/>
      <c r="G17" s="56" t="n">
        <v>1</v>
      </c>
      <c r="H17" s="56"/>
      <c r="I17" s="57"/>
      <c r="J17" s="57" t="n">
        <v>1</v>
      </c>
      <c r="K17" s="57"/>
      <c r="L17" s="57"/>
      <c r="M17" s="57" t="n">
        <v>1</v>
      </c>
      <c r="N17" s="56"/>
      <c r="O17" s="80"/>
      <c r="P17" s="57" t="n">
        <v>1</v>
      </c>
      <c r="Q17" s="57"/>
      <c r="R17" s="57"/>
      <c r="S17" s="57" t="n">
        <v>1</v>
      </c>
      <c r="T17" s="58" t="n">
        <f aca="false">$D17*E17</f>
        <v>0</v>
      </c>
      <c r="U17" s="58" t="n">
        <f aca="false">$D17*F17</f>
        <v>0</v>
      </c>
      <c r="V17" s="58" t="n">
        <f aca="false">$D17*G17</f>
        <v>180.21</v>
      </c>
      <c r="W17" s="58" t="n">
        <f aca="false">$D17*H17</f>
        <v>0</v>
      </c>
      <c r="X17" s="58" t="n">
        <f aca="false">$D17*I17</f>
        <v>0</v>
      </c>
      <c r="Y17" s="58" t="n">
        <f aca="false">$D17*J17</f>
        <v>180.21</v>
      </c>
      <c r="Z17" s="58" t="n">
        <f aca="false">$D17*K17</f>
        <v>0</v>
      </c>
      <c r="AA17" s="58" t="n">
        <f aca="false">$D17*L17</f>
        <v>0</v>
      </c>
      <c r="AB17" s="58" t="n">
        <f aca="false">$D17*M17</f>
        <v>180.21</v>
      </c>
      <c r="AC17" s="91" t="n">
        <f aca="false">$D17*N17</f>
        <v>0</v>
      </c>
      <c r="AD17" s="91" t="n">
        <f aca="false">$D17*O17</f>
        <v>0</v>
      </c>
      <c r="AE17" s="91" t="n">
        <f aca="false">$D17*P17</f>
        <v>180.21</v>
      </c>
      <c r="AF17" s="91" t="n">
        <f aca="false">$D17*Q17</f>
        <v>0</v>
      </c>
      <c r="AG17" s="91" t="n">
        <f aca="false">$D17*R17</f>
        <v>0</v>
      </c>
      <c r="AH17" s="91" t="n">
        <f aca="false">$D17*S17</f>
        <v>180.21</v>
      </c>
      <c r="AI17" s="94" t="n">
        <f aca="false">AJ17/$AI$2</f>
        <v>0.0671323200715244</v>
      </c>
      <c r="AJ17" s="58" t="n">
        <f aca="false">SUM(T17:AH17)</f>
        <v>901.05</v>
      </c>
    </row>
    <row r="18" customFormat="false" ht="15" hidden="false" customHeight="false" outlineLevel="0" collapsed="false">
      <c r="A18" s="60" t="n">
        <v>4</v>
      </c>
      <c r="B18" s="61" t="s">
        <v>54</v>
      </c>
      <c r="C18" s="62" t="s">
        <v>126</v>
      </c>
      <c r="D18" s="63" t="n">
        <f aca="false">VLOOKUP(C18,'[1]PREÇO ATUAL'!$A$1:$D$1048576,4,0)</f>
        <v>155.01</v>
      </c>
      <c r="E18" s="64"/>
      <c r="F18" s="64"/>
      <c r="G18" s="64"/>
      <c r="H18" s="64"/>
      <c r="I18" s="65"/>
      <c r="J18" s="65" t="n">
        <v>3</v>
      </c>
      <c r="K18" s="65"/>
      <c r="L18" s="65"/>
      <c r="M18" s="65"/>
      <c r="N18" s="64"/>
      <c r="O18" s="79"/>
      <c r="P18" s="65" t="n">
        <v>3</v>
      </c>
      <c r="Q18" s="65"/>
      <c r="R18" s="65"/>
      <c r="S18" s="65"/>
      <c r="T18" s="66" t="n">
        <f aca="false">$D18*E18</f>
        <v>0</v>
      </c>
      <c r="U18" s="66" t="n">
        <f aca="false">$D18*F18</f>
        <v>0</v>
      </c>
      <c r="V18" s="66" t="n">
        <f aca="false">$D18*G18</f>
        <v>0</v>
      </c>
      <c r="W18" s="66" t="n">
        <f aca="false">$D18*H18</f>
        <v>0</v>
      </c>
      <c r="X18" s="66" t="n">
        <f aca="false">$D18*I18</f>
        <v>0</v>
      </c>
      <c r="Y18" s="66" t="n">
        <f aca="false">$D18*J18</f>
        <v>465.03</v>
      </c>
      <c r="Z18" s="66" t="n">
        <f aca="false">$D18*K18</f>
        <v>0</v>
      </c>
      <c r="AA18" s="66" t="n">
        <f aca="false">$D18*L18</f>
        <v>0</v>
      </c>
      <c r="AB18" s="66" t="n">
        <f aca="false">$D18*M18</f>
        <v>0</v>
      </c>
      <c r="AC18" s="92" t="n">
        <f aca="false">$D18*N18</f>
        <v>0</v>
      </c>
      <c r="AD18" s="92" t="n">
        <f aca="false">$D18*O18</f>
        <v>0</v>
      </c>
      <c r="AE18" s="92" t="n">
        <f aca="false">$D18*P18</f>
        <v>465.03</v>
      </c>
      <c r="AF18" s="92" t="n">
        <f aca="false">$D18*Q18</f>
        <v>0</v>
      </c>
      <c r="AG18" s="92" t="n">
        <f aca="false">$D18*R18</f>
        <v>0</v>
      </c>
      <c r="AH18" s="92" t="n">
        <f aca="false">$D18*S18</f>
        <v>0</v>
      </c>
      <c r="AI18" s="95" t="n">
        <f aca="false">AJ18/$AI$2</f>
        <v>0.0692936969155118</v>
      </c>
      <c r="AJ18" s="66" t="n">
        <f aca="false">SUM(T18:AH18)</f>
        <v>930.06</v>
      </c>
    </row>
    <row r="19" customFormat="false" ht="15" hidden="false" customHeight="false" outlineLevel="0" collapsed="false">
      <c r="A19" s="52" t="n">
        <v>5</v>
      </c>
      <c r="B19" s="53" t="s">
        <v>60</v>
      </c>
      <c r="C19" s="54" t="s">
        <v>61</v>
      </c>
      <c r="D19" s="55" t="n">
        <f aca="false">VLOOKUP(C19,'[1]PREÇO ATUAL'!$A$1:$D$1048576,4,0)</f>
        <v>33.6224930838505</v>
      </c>
      <c r="E19" s="56"/>
      <c r="F19" s="56"/>
      <c r="G19" s="56"/>
      <c r="H19" s="56"/>
      <c r="I19" s="57"/>
      <c r="J19" s="57"/>
      <c r="K19" s="57"/>
      <c r="L19" s="57"/>
      <c r="M19" s="57"/>
      <c r="N19" s="56"/>
      <c r="O19" s="80"/>
      <c r="P19" s="57"/>
      <c r="Q19" s="57"/>
      <c r="R19" s="57"/>
      <c r="S19" s="57"/>
      <c r="T19" s="58" t="n">
        <f aca="false">$D19*E19</f>
        <v>0</v>
      </c>
      <c r="U19" s="58" t="n">
        <f aca="false">$D19*F19</f>
        <v>0</v>
      </c>
      <c r="V19" s="58" t="n">
        <f aca="false">$D19*G19</f>
        <v>0</v>
      </c>
      <c r="W19" s="58" t="n">
        <f aca="false">$D19*H19</f>
        <v>0</v>
      </c>
      <c r="X19" s="58" t="n">
        <f aca="false">$D19*I19</f>
        <v>0</v>
      </c>
      <c r="Y19" s="58" t="n">
        <f aca="false">$D19*J19</f>
        <v>0</v>
      </c>
      <c r="Z19" s="58" t="n">
        <f aca="false">$D19*K19</f>
        <v>0</v>
      </c>
      <c r="AA19" s="58" t="n">
        <f aca="false">$D19*L19</f>
        <v>0</v>
      </c>
      <c r="AB19" s="58" t="n">
        <f aca="false">$D19*M19</f>
        <v>0</v>
      </c>
      <c r="AC19" s="91" t="n">
        <f aca="false">$D19*N19</f>
        <v>0</v>
      </c>
      <c r="AD19" s="91" t="n">
        <f aca="false">$D19*O19</f>
        <v>0</v>
      </c>
      <c r="AE19" s="91" t="n">
        <f aca="false">$D19*P19</f>
        <v>0</v>
      </c>
      <c r="AF19" s="91" t="n">
        <f aca="false">$D19*Q19</f>
        <v>0</v>
      </c>
      <c r="AG19" s="91" t="n">
        <f aca="false">$D19*R19</f>
        <v>0</v>
      </c>
      <c r="AH19" s="91" t="n">
        <f aca="false">$D19*S19</f>
        <v>0</v>
      </c>
      <c r="AI19" s="94" t="n">
        <f aca="false">AJ19/$AI$2</f>
        <v>0</v>
      </c>
      <c r="AJ19" s="58" t="n">
        <f aca="false">SUM(T19:AH19)</f>
        <v>0</v>
      </c>
    </row>
    <row r="20" customFormat="false" ht="15" hidden="false" customHeight="false" outlineLevel="0" collapsed="false">
      <c r="A20" s="60"/>
      <c r="B20" s="61" t="s">
        <v>73</v>
      </c>
      <c r="C20" s="62" t="s">
        <v>59</v>
      </c>
      <c r="D20" s="63" t="n">
        <f aca="false">VLOOKUP(C20,'[1]PREÇO ATUAL'!$A$1:$D$1048576,4,0)</f>
        <v>165.97812</v>
      </c>
      <c r="E20" s="82"/>
      <c r="F20" s="82"/>
      <c r="G20" s="82"/>
      <c r="H20" s="82"/>
      <c r="I20" s="83"/>
      <c r="J20" s="83"/>
      <c r="K20" s="83"/>
      <c r="L20" s="83"/>
      <c r="M20" s="83"/>
      <c r="N20" s="82"/>
      <c r="O20" s="111"/>
      <c r="P20" s="68" t="n">
        <v>2</v>
      </c>
      <c r="Q20" s="83"/>
      <c r="R20" s="83"/>
      <c r="S20" s="83"/>
      <c r="T20" s="66" t="n">
        <f aca="false">$D20*E20</f>
        <v>0</v>
      </c>
      <c r="U20" s="66" t="n">
        <f aca="false">$D20*F20</f>
        <v>0</v>
      </c>
      <c r="V20" s="66" t="n">
        <f aca="false">$D20*G20</f>
        <v>0</v>
      </c>
      <c r="W20" s="66" t="n">
        <f aca="false">$D20*H20</f>
        <v>0</v>
      </c>
      <c r="X20" s="66" t="n">
        <f aca="false">$D20*I20</f>
        <v>0</v>
      </c>
      <c r="Y20" s="66" t="n">
        <f aca="false">$D20*J20</f>
        <v>0</v>
      </c>
      <c r="Z20" s="66" t="n">
        <f aca="false">$D20*K20</f>
        <v>0</v>
      </c>
      <c r="AA20" s="66" t="n">
        <f aca="false">$D20*L20</f>
        <v>0</v>
      </c>
      <c r="AB20" s="66" t="n">
        <f aca="false">$D20*M20</f>
        <v>0</v>
      </c>
      <c r="AC20" s="92" t="n">
        <f aca="false">$D20*N20</f>
        <v>0</v>
      </c>
      <c r="AD20" s="92" t="n">
        <f aca="false">$D20*O20</f>
        <v>0</v>
      </c>
      <c r="AE20" s="92" t="n">
        <f aca="false">$D20*P20</f>
        <v>331.95624</v>
      </c>
      <c r="AF20" s="92" t="n">
        <f aca="false">$D20*Q20</f>
        <v>0</v>
      </c>
      <c r="AG20" s="92" t="n">
        <f aca="false">$D20*R20</f>
        <v>0</v>
      </c>
      <c r="AH20" s="92" t="n">
        <f aca="false">$D20*S20</f>
        <v>0</v>
      </c>
      <c r="AI20" s="95" t="n">
        <f aca="false">AJ20/$AI$2</f>
        <v>0.0247322485471614</v>
      </c>
      <c r="AJ20" s="66" t="n">
        <f aca="false">SUM(T20:AH20)</f>
        <v>331.95624</v>
      </c>
    </row>
    <row r="21" customFormat="false" ht="15" hidden="false" customHeight="false" outlineLevel="0" collapsed="false">
      <c r="A21" s="52" t="n">
        <v>6</v>
      </c>
      <c r="B21" s="53" t="s">
        <v>127</v>
      </c>
      <c r="C21" s="54" t="s">
        <v>128</v>
      </c>
      <c r="D21" s="55" t="n">
        <f aca="false">VLOOKUP(C21,'[1]PREÇO ATUAL'!$A$1:$D$1048576,4,0)</f>
        <v>87.82</v>
      </c>
      <c r="E21" s="84" t="n">
        <v>3.5</v>
      </c>
      <c r="F21" s="84" t="n">
        <v>3.5</v>
      </c>
      <c r="G21" s="84" t="n">
        <v>3.5</v>
      </c>
      <c r="H21" s="84" t="n">
        <v>3.5</v>
      </c>
      <c r="I21" s="85" t="n">
        <v>3.5</v>
      </c>
      <c r="J21" s="85" t="n">
        <v>3.5</v>
      </c>
      <c r="K21" s="85" t="n">
        <v>3.5</v>
      </c>
      <c r="L21" s="85" t="n">
        <v>3.5</v>
      </c>
      <c r="M21" s="85" t="n">
        <v>3.5</v>
      </c>
      <c r="N21" s="84" t="n">
        <v>3.5</v>
      </c>
      <c r="O21" s="110" t="n">
        <v>3.5</v>
      </c>
      <c r="P21" s="85" t="n">
        <v>3.5</v>
      </c>
      <c r="Q21" s="85" t="n">
        <v>3.5</v>
      </c>
      <c r="R21" s="85" t="n">
        <v>3.5</v>
      </c>
      <c r="S21" s="85" t="n">
        <v>3.5</v>
      </c>
      <c r="T21" s="58" t="n">
        <f aca="false">$D21*E21</f>
        <v>307.37</v>
      </c>
      <c r="U21" s="58" t="n">
        <f aca="false">$D21*F21</f>
        <v>307.37</v>
      </c>
      <c r="V21" s="58" t="n">
        <f aca="false">$D21*G21</f>
        <v>307.37</v>
      </c>
      <c r="W21" s="58" t="n">
        <f aca="false">$D21*H21</f>
        <v>307.37</v>
      </c>
      <c r="X21" s="58" t="n">
        <f aca="false">$D21*I21</f>
        <v>307.37</v>
      </c>
      <c r="Y21" s="58" t="n">
        <f aca="false">$D21*J21</f>
        <v>307.37</v>
      </c>
      <c r="Z21" s="58" t="n">
        <f aca="false">$D21*K21</f>
        <v>307.37</v>
      </c>
      <c r="AA21" s="58" t="n">
        <f aca="false">$D21*L21</f>
        <v>307.37</v>
      </c>
      <c r="AB21" s="58" t="n">
        <f aca="false">$D21*M21</f>
        <v>307.37</v>
      </c>
      <c r="AC21" s="91" t="n">
        <f aca="false">$D21*N21</f>
        <v>307.37</v>
      </c>
      <c r="AD21" s="91" t="n">
        <f aca="false">$D21*O21</f>
        <v>307.37</v>
      </c>
      <c r="AE21" s="91" t="n">
        <f aca="false">$D21*P21</f>
        <v>307.37</v>
      </c>
      <c r="AF21" s="91" t="n">
        <f aca="false">$D21*Q21</f>
        <v>307.37</v>
      </c>
      <c r="AG21" s="91" t="n">
        <f aca="false">$D21*R21</f>
        <v>307.37</v>
      </c>
      <c r="AH21" s="91" t="n">
        <f aca="false">$D21*S21</f>
        <v>307.37</v>
      </c>
      <c r="AI21" s="94" t="n">
        <f aca="false">AJ21/$AI$2</f>
        <v>0.343506928922664</v>
      </c>
      <c r="AJ21" s="58" t="n">
        <f aca="false">SUM(T21:AH21)</f>
        <v>4610.55</v>
      </c>
    </row>
    <row r="22" customFormat="false" ht="15" hidden="false" customHeight="false" outlineLevel="0" collapsed="false">
      <c r="A22" s="60" t="n">
        <v>7</v>
      </c>
      <c r="B22" s="61" t="s">
        <v>64</v>
      </c>
      <c r="C22" s="62" t="s">
        <v>65</v>
      </c>
      <c r="D22" s="63" t="n">
        <f aca="false">VLOOKUP(C22,'[1]PREÇO ATUAL'!$A$1:$D$1048576,4,0)</f>
        <v>342</v>
      </c>
      <c r="E22" s="82" t="n">
        <v>0.85</v>
      </c>
      <c r="F22" s="82" t="n">
        <v>0.9</v>
      </c>
      <c r="G22" s="82" t="n">
        <v>0.85</v>
      </c>
      <c r="H22" s="82" t="n">
        <v>0.9</v>
      </c>
      <c r="I22" s="83" t="n">
        <v>0.95</v>
      </c>
      <c r="J22" s="83" t="n">
        <v>1.05</v>
      </c>
      <c r="K22" s="83" t="n">
        <v>0.85</v>
      </c>
      <c r="L22" s="83" t="n">
        <v>0.9</v>
      </c>
      <c r="M22" s="83" t="n">
        <v>0.85</v>
      </c>
      <c r="N22" s="82" t="n">
        <v>1</v>
      </c>
      <c r="O22" s="111" t="n">
        <v>0.85</v>
      </c>
      <c r="P22" s="83" t="n">
        <v>1.25</v>
      </c>
      <c r="Q22" s="83" t="n">
        <v>0.85</v>
      </c>
      <c r="R22" s="83" t="n">
        <v>0.9</v>
      </c>
      <c r="S22" s="83" t="n">
        <v>0.95</v>
      </c>
      <c r="T22" s="66" t="n">
        <f aca="false">D22*E22</f>
        <v>290.7</v>
      </c>
      <c r="U22" s="66" t="n">
        <f aca="false">$D22*F22</f>
        <v>307.8</v>
      </c>
      <c r="V22" s="66" t="n">
        <f aca="false">$D22*G22</f>
        <v>290.7</v>
      </c>
      <c r="W22" s="66" t="n">
        <f aca="false">$D22*H22</f>
        <v>307.8</v>
      </c>
      <c r="X22" s="66" t="n">
        <f aca="false">$D22*I22</f>
        <v>324.9</v>
      </c>
      <c r="Y22" s="66" t="n">
        <f aca="false">$D22*J22</f>
        <v>359.1</v>
      </c>
      <c r="Z22" s="66" t="n">
        <f aca="false">$D22*K22</f>
        <v>290.7</v>
      </c>
      <c r="AA22" s="66" t="n">
        <f aca="false">$D22*L22</f>
        <v>307.8</v>
      </c>
      <c r="AB22" s="66" t="n">
        <f aca="false">$D22*M22</f>
        <v>290.7</v>
      </c>
      <c r="AC22" s="92" t="n">
        <f aca="false">$D22*N22</f>
        <v>342</v>
      </c>
      <c r="AD22" s="92" t="n">
        <f aca="false">$D22*O22</f>
        <v>290.7</v>
      </c>
      <c r="AE22" s="92" t="n">
        <f aca="false">$D22*P22</f>
        <v>427.5</v>
      </c>
      <c r="AF22" s="92" t="n">
        <f aca="false">$D22*Q22</f>
        <v>290.7</v>
      </c>
      <c r="AG22" s="92" t="n">
        <f aca="false">$D22*R22</f>
        <v>307.8</v>
      </c>
      <c r="AH22" s="92" t="n">
        <f aca="false">$D22*S22</f>
        <v>324.9</v>
      </c>
      <c r="AI22" s="95" t="n">
        <f aca="false">AJ22/$AI$2</f>
        <v>0.354179704962003</v>
      </c>
      <c r="AJ22" s="66" t="n">
        <f aca="false">SUM(T22:AH22)</f>
        <v>4753.8</v>
      </c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</sheetData>
  <mergeCells count="10">
    <mergeCell ref="A1:D2"/>
    <mergeCell ref="E1:S1"/>
    <mergeCell ref="T1:AH1"/>
    <mergeCell ref="AI1:AJ1"/>
    <mergeCell ref="AI2:AJ2"/>
    <mergeCell ref="A12:D13"/>
    <mergeCell ref="E12:S12"/>
    <mergeCell ref="T12:AH12"/>
    <mergeCell ref="AI12:AJ12"/>
    <mergeCell ref="AI13:AJ1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J985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pane xSplit="4" ySplit="0" topLeftCell="E7" activePane="topRight" state="frozen"/>
      <selection pane="topLeft" activeCell="A7" activeCellId="0" sqref="A7"/>
      <selection pane="topRight" activeCell="B29" activeCellId="0" sqref="B29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50"/>
    <col collapsed="false" customWidth="true" hidden="false" outlineLevel="0" max="3" min="3" style="0" width="16.87"/>
    <col collapsed="false" customWidth="true" hidden="false" outlineLevel="0" max="4" min="4" style="0" width="8.71"/>
    <col collapsed="false" customWidth="true" hidden="false" outlineLevel="0" max="19" min="5" style="0" width="5.14"/>
    <col collapsed="false" customWidth="true" hidden="false" outlineLevel="0" max="20" min="20" style="0" width="14.15"/>
    <col collapsed="false" customWidth="true" hidden="false" outlineLevel="0" max="22" min="21" style="0" width="13.43"/>
    <col collapsed="false" customWidth="true" hidden="false" outlineLevel="0" max="23" min="23" style="0" width="15.42"/>
    <col collapsed="false" customWidth="true" hidden="false" outlineLevel="0" max="24" min="24" style="0" width="13.43"/>
    <col collapsed="false" customWidth="true" hidden="false" outlineLevel="0" max="25" min="25" style="0" width="15.42"/>
    <col collapsed="false" customWidth="true" hidden="false" outlineLevel="0" max="26" min="26" style="0" width="13.43"/>
    <col collapsed="false" customWidth="true" hidden="false" outlineLevel="0" max="27" min="27" style="0" width="15.42"/>
    <col collapsed="false" customWidth="true" hidden="false" outlineLevel="0" max="28" min="28" style="0" width="15.71"/>
    <col collapsed="false" customWidth="true" hidden="false" outlineLevel="0" max="29" min="29" style="0" width="14.57"/>
    <col collapsed="false" customWidth="true" hidden="false" outlineLevel="0" max="30" min="30" style="0" width="13.7"/>
    <col collapsed="false" customWidth="true" hidden="false" outlineLevel="0" max="31" min="31" style="0" width="15.71"/>
    <col collapsed="false" customWidth="true" hidden="false" outlineLevel="0" max="34" min="32" style="0" width="13.7"/>
    <col collapsed="false" customWidth="true" hidden="false" outlineLevel="0" max="35" min="35" style="0" width="9.13"/>
    <col collapsed="false" customWidth="true" hidden="false" outlineLevel="0" max="36" min="36" style="0" width="15.57"/>
  </cols>
  <sheetData>
    <row r="1" customFormat="false" ht="15" hidden="false" customHeight="false" outlineLevel="0" collapsed="false">
      <c r="A1" s="74" t="s">
        <v>158</v>
      </c>
      <c r="B1" s="74"/>
      <c r="C1" s="74"/>
      <c r="D1" s="74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77" t="s">
        <v>30</v>
      </c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37" t="s">
        <v>31</v>
      </c>
      <c r="AJ1" s="37"/>
    </row>
    <row r="2" customFormat="false" ht="15" hidden="false" customHeight="false" outlineLevel="0" collapsed="false">
      <c r="A2" s="74"/>
      <c r="B2" s="74"/>
      <c r="C2" s="74"/>
      <c r="D2" s="74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43" t="n">
        <f aca="false">MROUND(SUM(T4:T11),1)</f>
        <v>627</v>
      </c>
      <c r="U2" s="43" t="n">
        <f aca="false">MROUND(SUM(U4:U11),1)</f>
        <v>714</v>
      </c>
      <c r="V2" s="43" t="n">
        <f aca="false">MROUND(SUM(V4:V11),1)</f>
        <v>716</v>
      </c>
      <c r="W2" s="43" t="n">
        <f aca="false">MROUND(SUM(W4:W11),1)</f>
        <v>1520</v>
      </c>
      <c r="X2" s="43" t="n">
        <f aca="false">MROUND(SUM(X4:X11),1)</f>
        <v>678</v>
      </c>
      <c r="Y2" s="43" t="n">
        <f aca="false">MROUND(SUM(Y4:Y11),1)</f>
        <v>947</v>
      </c>
      <c r="Z2" s="43" t="n">
        <f aca="false">MROUND(SUM(Z4:Z11),1)</f>
        <v>627</v>
      </c>
      <c r="AA2" s="43" t="n">
        <f aca="false">MROUND(SUM(AA4:AA11),1)</f>
        <v>1520</v>
      </c>
      <c r="AB2" s="43" t="n">
        <f aca="false">MROUND(SUM(AB4:AB11),1)</f>
        <v>716</v>
      </c>
      <c r="AC2" s="43" t="n">
        <f aca="false">MROUND(SUM(AC4:AC11),1)</f>
        <v>765</v>
      </c>
      <c r="AD2" s="43" t="n">
        <f aca="false">MROUND(SUM(AD4:AD11),1)</f>
        <v>716</v>
      </c>
      <c r="AE2" s="43" t="n">
        <f aca="false">MROUND(SUM(AE4:AE11),1)</f>
        <v>1663</v>
      </c>
      <c r="AF2" s="43" t="n">
        <f aca="false">MROUND(SUM(AF4:AF11),1)</f>
        <v>716</v>
      </c>
      <c r="AG2" s="43" t="n">
        <f aca="false">MROUND(SUM(AG4:AG11),1)</f>
        <v>714</v>
      </c>
      <c r="AH2" s="43" t="n">
        <f aca="false">MROUND(SUM(AH4:AH11),1)</f>
        <v>768</v>
      </c>
      <c r="AI2" s="44" t="n">
        <f aca="false">SUM(T2:AH2)</f>
        <v>13407</v>
      </c>
      <c r="AJ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s">
        <v>142</v>
      </c>
      <c r="P3" s="48" t="s">
        <v>143</v>
      </c>
      <c r="Q3" s="48" t="s">
        <v>144</v>
      </c>
      <c r="R3" s="48" t="s">
        <v>145</v>
      </c>
      <c r="S3" s="48" t="s">
        <v>146</v>
      </c>
      <c r="T3" s="48" t="n">
        <v>10000</v>
      </c>
      <c r="U3" s="48" t="n">
        <v>20000</v>
      </c>
      <c r="V3" s="48" t="n">
        <v>30000</v>
      </c>
      <c r="W3" s="48" t="n">
        <v>40000</v>
      </c>
      <c r="X3" s="48" t="n">
        <v>50000</v>
      </c>
      <c r="Y3" s="48" t="n">
        <v>60000</v>
      </c>
      <c r="Z3" s="48" t="n">
        <v>70000</v>
      </c>
      <c r="AA3" s="48" t="n">
        <v>80000</v>
      </c>
      <c r="AB3" s="48" t="n">
        <v>90000</v>
      </c>
      <c r="AC3" s="48" t="n">
        <v>100000</v>
      </c>
      <c r="AD3" s="48" t="n">
        <f aca="false">AC3+10000</f>
        <v>110000</v>
      </c>
      <c r="AE3" s="48" t="n">
        <f aca="false">AD3+10000</f>
        <v>120000</v>
      </c>
      <c r="AF3" s="48" t="n">
        <f aca="false">AE3+10000</f>
        <v>130000</v>
      </c>
      <c r="AG3" s="48" t="n">
        <f aca="false">AF3+10000</f>
        <v>140000</v>
      </c>
      <c r="AH3" s="48" t="n">
        <f aca="false">AG3+10000</f>
        <v>150000</v>
      </c>
      <c r="AI3" s="51" t="n">
        <f aca="false">SUM(AI4:AI11)</f>
        <v>0.999982397255165</v>
      </c>
      <c r="AJ3" s="45" t="s">
        <v>47</v>
      </c>
    </row>
    <row r="4" customFormat="false" ht="15" hidden="false" customHeight="false" outlineLevel="0" collapsed="false">
      <c r="A4" s="52" t="n">
        <v>1</v>
      </c>
      <c r="B4" s="53" t="s">
        <v>48</v>
      </c>
      <c r="C4" s="54" t="s">
        <v>49</v>
      </c>
      <c r="D4" s="55" t="n">
        <f aca="false">VLOOKUP(C4,'[1]PREÇO ATUAL'!$A$1:$D$1048576,4,0)</f>
        <v>79.9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6" t="n">
        <v>1</v>
      </c>
      <c r="O4" s="57" t="n">
        <v>1</v>
      </c>
      <c r="P4" s="56" t="n">
        <v>1</v>
      </c>
      <c r="Q4" s="57" t="n">
        <v>1</v>
      </c>
      <c r="R4" s="56" t="n">
        <v>1</v>
      </c>
      <c r="S4" s="57" t="n">
        <v>1</v>
      </c>
      <c r="T4" s="58" t="n">
        <f aca="false">$D4*E4</f>
        <v>79.9</v>
      </c>
      <c r="U4" s="58" t="n">
        <f aca="false">$D4*F4</f>
        <v>79.9</v>
      </c>
      <c r="V4" s="58" t="n">
        <f aca="false">$D4*G4</f>
        <v>79.9</v>
      </c>
      <c r="W4" s="58" t="n">
        <f aca="false">$D4*H4</f>
        <v>79.9</v>
      </c>
      <c r="X4" s="58" t="n">
        <f aca="false">$D4*I4</f>
        <v>79.9</v>
      </c>
      <c r="Y4" s="58" t="n">
        <f aca="false">$D4*J4</f>
        <v>79.9</v>
      </c>
      <c r="Z4" s="58" t="n">
        <f aca="false">$D4*K4</f>
        <v>79.9</v>
      </c>
      <c r="AA4" s="58" t="n">
        <f aca="false">$D4*L4</f>
        <v>79.9</v>
      </c>
      <c r="AB4" s="58" t="n">
        <f aca="false">$D4*M4</f>
        <v>79.9</v>
      </c>
      <c r="AC4" s="91" t="n">
        <f aca="false">$D4*N4</f>
        <v>79.9</v>
      </c>
      <c r="AD4" s="91" t="n">
        <f aca="false">$D4*O4</f>
        <v>79.9</v>
      </c>
      <c r="AE4" s="91" t="n">
        <f aca="false">$D4*P4</f>
        <v>79.9</v>
      </c>
      <c r="AF4" s="91" t="n">
        <f aca="false">$D4*Q4</f>
        <v>79.9</v>
      </c>
      <c r="AG4" s="91" t="n">
        <f aca="false">$D4*R4</f>
        <v>79.9</v>
      </c>
      <c r="AH4" s="91" t="n">
        <f aca="false">$D4*S4</f>
        <v>79.9</v>
      </c>
      <c r="AI4" s="94" t="n">
        <f aca="false">AJ4/$AI$2</f>
        <v>0.0893936003580219</v>
      </c>
      <c r="AJ4" s="58" t="n">
        <f aca="false">SUM(T4:AH4)</f>
        <v>1198.5</v>
      </c>
    </row>
    <row r="5" customFormat="false" ht="15" hidden="false" customHeight="false" outlineLevel="0" collapsed="false">
      <c r="A5" s="60" t="n">
        <v>2</v>
      </c>
      <c r="B5" s="61" t="s">
        <v>50</v>
      </c>
      <c r="C5" s="62" t="s">
        <v>51</v>
      </c>
      <c r="D5" s="63" t="n">
        <f aca="false">VLOOKUP(C5,'[1]PREÇO ATUAL'!$A$1:$D$1048576,4,0)</f>
        <v>35.9</v>
      </c>
      <c r="E5" s="64"/>
      <c r="F5" s="64" t="n">
        <v>1</v>
      </c>
      <c r="G5" s="64"/>
      <c r="H5" s="64" t="n">
        <v>1</v>
      </c>
      <c r="I5" s="65"/>
      <c r="J5" s="65" t="n">
        <v>1</v>
      </c>
      <c r="K5" s="65"/>
      <c r="L5" s="65" t="n">
        <v>1</v>
      </c>
      <c r="M5" s="65"/>
      <c r="N5" s="64" t="n">
        <v>1</v>
      </c>
      <c r="O5" s="65"/>
      <c r="P5" s="64" t="n">
        <v>1</v>
      </c>
      <c r="Q5" s="65"/>
      <c r="R5" s="64" t="n">
        <v>1</v>
      </c>
      <c r="S5" s="65"/>
      <c r="T5" s="66" t="n">
        <f aca="false">$D5*E5</f>
        <v>0</v>
      </c>
      <c r="U5" s="66" t="n">
        <f aca="false">$D5*F5</f>
        <v>35.9</v>
      </c>
      <c r="V5" s="66" t="n">
        <f aca="false">$D5*G5</f>
        <v>0</v>
      </c>
      <c r="W5" s="66" t="n">
        <f aca="false">$D5*H5</f>
        <v>35.9</v>
      </c>
      <c r="X5" s="66" t="n">
        <f aca="false">$D5*I5</f>
        <v>0</v>
      </c>
      <c r="Y5" s="66" t="n">
        <f aca="false">$D5*J5</f>
        <v>35.9</v>
      </c>
      <c r="Z5" s="66" t="n">
        <f aca="false">$D5*K5</f>
        <v>0</v>
      </c>
      <c r="AA5" s="66" t="n">
        <f aca="false">$D5*L5</f>
        <v>35.9</v>
      </c>
      <c r="AB5" s="66" t="n">
        <f aca="false">$D5*M5</f>
        <v>0</v>
      </c>
      <c r="AC5" s="92" t="n">
        <f aca="false">$D5*N5</f>
        <v>35.9</v>
      </c>
      <c r="AD5" s="92" t="n">
        <f aca="false">$D5*O5</f>
        <v>0</v>
      </c>
      <c r="AE5" s="92" t="n">
        <f aca="false">$D5*P5</f>
        <v>35.9</v>
      </c>
      <c r="AF5" s="92" t="n">
        <f aca="false">$D5*Q5</f>
        <v>0</v>
      </c>
      <c r="AG5" s="92" t="n">
        <f aca="false">$D5*R5</f>
        <v>35.9</v>
      </c>
      <c r="AH5" s="92" t="n">
        <f aca="false">$D5*S5</f>
        <v>0</v>
      </c>
      <c r="AI5" s="95" t="n">
        <f aca="false">AJ5/$AI$2</f>
        <v>0.0187439397329753</v>
      </c>
      <c r="AJ5" s="66" t="n">
        <f aca="false">SUM(T5:AH5)</f>
        <v>251.3</v>
      </c>
    </row>
    <row r="6" customFormat="false" ht="15" hidden="false" customHeight="false" outlineLevel="0" collapsed="false">
      <c r="A6" s="52" t="n">
        <v>3</v>
      </c>
      <c r="B6" s="53" t="s">
        <v>52</v>
      </c>
      <c r="C6" s="54" t="s">
        <v>53</v>
      </c>
      <c r="D6" s="55" t="n">
        <f aca="false">VLOOKUP(C6,'[1]PREÇO ATUAL'!$A$1:$D$1048576,4,0)</f>
        <v>89.9</v>
      </c>
      <c r="E6" s="56"/>
      <c r="F6" s="56"/>
      <c r="G6" s="56" t="n">
        <v>1</v>
      </c>
      <c r="H6" s="56"/>
      <c r="I6" s="57"/>
      <c r="J6" s="57" t="n">
        <v>1</v>
      </c>
      <c r="K6" s="57"/>
      <c r="L6" s="57"/>
      <c r="M6" s="57" t="n">
        <v>1</v>
      </c>
      <c r="N6" s="56"/>
      <c r="O6" s="57" t="n">
        <v>1</v>
      </c>
      <c r="P6" s="56"/>
      <c r="Q6" s="57" t="n">
        <v>1</v>
      </c>
      <c r="R6" s="56"/>
      <c r="S6" s="57" t="n">
        <v>1</v>
      </c>
      <c r="T6" s="58" t="n">
        <f aca="false">$D6*E6</f>
        <v>0</v>
      </c>
      <c r="U6" s="58" t="n">
        <f aca="false">$D6*F6</f>
        <v>0</v>
      </c>
      <c r="V6" s="58" t="n">
        <f aca="false">$D6*G6</f>
        <v>89.9</v>
      </c>
      <c r="W6" s="58" t="n">
        <f aca="false">$D6*H6</f>
        <v>0</v>
      </c>
      <c r="X6" s="58" t="n">
        <f aca="false">$D6*I6</f>
        <v>0</v>
      </c>
      <c r="Y6" s="58" t="n">
        <f aca="false">$D6*J6</f>
        <v>89.9</v>
      </c>
      <c r="Z6" s="58" t="n">
        <f aca="false">$D6*K6</f>
        <v>0</v>
      </c>
      <c r="AA6" s="58" t="n">
        <f aca="false">$D6*L6</f>
        <v>0</v>
      </c>
      <c r="AB6" s="58" t="n">
        <f aca="false">$D6*M6</f>
        <v>89.9</v>
      </c>
      <c r="AC6" s="91" t="n">
        <f aca="false">$D6*N6</f>
        <v>0</v>
      </c>
      <c r="AD6" s="91" t="n">
        <f aca="false">$D6*O6</f>
        <v>89.9</v>
      </c>
      <c r="AE6" s="91" t="n">
        <f aca="false">$D6*P6</f>
        <v>0</v>
      </c>
      <c r="AF6" s="91" t="n">
        <f aca="false">$D6*Q6</f>
        <v>89.9</v>
      </c>
      <c r="AG6" s="91" t="n">
        <f aca="false">$D6*R6</f>
        <v>0</v>
      </c>
      <c r="AH6" s="91" t="n">
        <f aca="false">$D6*S6</f>
        <v>89.9</v>
      </c>
      <c r="AI6" s="94" t="n">
        <f aca="false">AJ6/$AI$2</f>
        <v>0.040232714253748</v>
      </c>
      <c r="AJ6" s="58" t="n">
        <f aca="false">SUM(T6:AH6)</f>
        <v>539.4</v>
      </c>
    </row>
    <row r="7" customFormat="false" ht="15" hidden="false" customHeight="false" outlineLevel="0" collapsed="false">
      <c r="A7" s="60" t="n">
        <v>4</v>
      </c>
      <c r="B7" s="61" t="s">
        <v>54</v>
      </c>
      <c r="C7" s="62" t="s">
        <v>55</v>
      </c>
      <c r="D7" s="63" t="n">
        <f aca="false">VLOOKUP(C7,'[1]PREÇO ATUAL'!$A$1:$D$1048576,4,0)</f>
        <v>175.9</v>
      </c>
      <c r="E7" s="64"/>
      <c r="F7" s="64"/>
      <c r="G7" s="64"/>
      <c r="H7" s="64" t="n">
        <v>4</v>
      </c>
      <c r="I7" s="65"/>
      <c r="J7" s="65"/>
      <c r="K7" s="65"/>
      <c r="L7" s="65" t="n">
        <v>4</v>
      </c>
      <c r="M7" s="65"/>
      <c r="N7" s="64"/>
      <c r="O7" s="79"/>
      <c r="P7" s="65" t="n">
        <v>4</v>
      </c>
      <c r="Q7" s="65"/>
      <c r="R7" s="65"/>
      <c r="S7" s="65"/>
      <c r="T7" s="66" t="n">
        <f aca="false">$D7*E7</f>
        <v>0</v>
      </c>
      <c r="U7" s="66" t="n">
        <f aca="false">$D7*F7</f>
        <v>0</v>
      </c>
      <c r="V7" s="66" t="n">
        <f aca="false">$D7*G7</f>
        <v>0</v>
      </c>
      <c r="W7" s="66" t="n">
        <f aca="false">$D7*H7</f>
        <v>703.6</v>
      </c>
      <c r="X7" s="66" t="n">
        <f aca="false">$D7*I7</f>
        <v>0</v>
      </c>
      <c r="Y7" s="66" t="n">
        <f aca="false">$D7*J7</f>
        <v>0</v>
      </c>
      <c r="Z7" s="66" t="n">
        <f aca="false">$D7*K7</f>
        <v>0</v>
      </c>
      <c r="AA7" s="66" t="n">
        <f aca="false">$D7*L7</f>
        <v>703.6</v>
      </c>
      <c r="AB7" s="66" t="n">
        <f aca="false">$D7*M7</f>
        <v>0</v>
      </c>
      <c r="AC7" s="92" t="n">
        <f aca="false">$D7*N7</f>
        <v>0</v>
      </c>
      <c r="AD7" s="92" t="n">
        <f aca="false">$D7*O7</f>
        <v>0</v>
      </c>
      <c r="AE7" s="92" t="n">
        <f aca="false">$D7*P7</f>
        <v>703.6</v>
      </c>
      <c r="AF7" s="92" t="n">
        <f aca="false">$D7*Q7</f>
        <v>0</v>
      </c>
      <c r="AG7" s="92" t="n">
        <f aca="false">$D7*R7</f>
        <v>0</v>
      </c>
      <c r="AH7" s="92" t="n">
        <f aca="false">$D7*S7</f>
        <v>0</v>
      </c>
      <c r="AI7" s="95" t="n">
        <f aca="false">AJ7/$AI$2</f>
        <v>0.157440143208772</v>
      </c>
      <c r="AJ7" s="66" t="n">
        <f aca="false">SUM(T7:AH7)</f>
        <v>2110.8</v>
      </c>
    </row>
    <row r="8" customFormat="false" ht="15.75" hidden="false" customHeight="true" outlineLevel="0" collapsed="false">
      <c r="A8" s="52" t="n">
        <v>5</v>
      </c>
      <c r="B8" s="53" t="s">
        <v>56</v>
      </c>
      <c r="C8" s="54" t="s">
        <v>57</v>
      </c>
      <c r="D8" s="55" t="n">
        <f aca="false">VLOOKUP(C8,'[1]PREÇO ATUAL'!$A$1:$D$1048576,4,0)</f>
        <v>143.23</v>
      </c>
      <c r="E8" s="56"/>
      <c r="F8" s="56"/>
      <c r="G8" s="56"/>
      <c r="H8" s="56"/>
      <c r="I8" s="57"/>
      <c r="J8" s="57" t="n">
        <v>1</v>
      </c>
      <c r="K8" s="57"/>
      <c r="L8" s="57"/>
      <c r="M8" s="57"/>
      <c r="N8" s="56"/>
      <c r="O8" s="80"/>
      <c r="P8" s="57" t="n">
        <v>1</v>
      </c>
      <c r="Q8" s="57"/>
      <c r="R8" s="57"/>
      <c r="S8" s="57"/>
      <c r="T8" s="58" t="n">
        <f aca="false">$D8*E8</f>
        <v>0</v>
      </c>
      <c r="U8" s="58" t="n">
        <f aca="false">$D8*F8</f>
        <v>0</v>
      </c>
      <c r="V8" s="58" t="n">
        <f aca="false">$D8*G8</f>
        <v>0</v>
      </c>
      <c r="W8" s="58" t="n">
        <f aca="false">$D8*H8</f>
        <v>0</v>
      </c>
      <c r="X8" s="58" t="n">
        <f aca="false">$D8*I8</f>
        <v>0</v>
      </c>
      <c r="Y8" s="58" t="n">
        <f aca="false">$D8*J8</f>
        <v>143.23</v>
      </c>
      <c r="Z8" s="58" t="n">
        <f aca="false">$D8*K8</f>
        <v>0</v>
      </c>
      <c r="AA8" s="58" t="n">
        <f aca="false">$D8*L8</f>
        <v>0</v>
      </c>
      <c r="AB8" s="58" t="n">
        <f aca="false">$D8*M8</f>
        <v>0</v>
      </c>
      <c r="AC8" s="91" t="n">
        <f aca="false">$D8*N8</f>
        <v>0</v>
      </c>
      <c r="AD8" s="91" t="n">
        <f aca="false">$D8*O8</f>
        <v>0</v>
      </c>
      <c r="AE8" s="91" t="n">
        <f aca="false">$D8*P8</f>
        <v>143.23</v>
      </c>
      <c r="AF8" s="91" t="n">
        <f aca="false">$D8*Q8</f>
        <v>0</v>
      </c>
      <c r="AG8" s="91" t="n">
        <f aca="false">$D8*R8</f>
        <v>0</v>
      </c>
      <c r="AH8" s="91" t="n">
        <f aca="false">$D8*S8</f>
        <v>0</v>
      </c>
      <c r="AI8" s="94" t="n">
        <f aca="false">AJ8/$AI$2</f>
        <v>0.0213664503617513</v>
      </c>
      <c r="AJ8" s="58" t="n">
        <f aca="false">SUM(T8:AH8)</f>
        <v>286.46</v>
      </c>
    </row>
    <row r="9" customFormat="false" ht="15.75" hidden="false" customHeight="true" outlineLevel="0" collapsed="false">
      <c r="A9" s="60" t="n">
        <v>6</v>
      </c>
      <c r="B9" s="61" t="s">
        <v>60</v>
      </c>
      <c r="C9" s="62" t="s">
        <v>61</v>
      </c>
      <c r="D9" s="63" t="n">
        <f aca="false">VLOOKUP(C9,'[1]PREÇO ATUAL'!$A$1:$D$1048576,4,0)</f>
        <v>33.6224930838505</v>
      </c>
      <c r="E9" s="82"/>
      <c r="F9" s="82"/>
      <c r="G9" s="82"/>
      <c r="H9" s="64"/>
      <c r="I9" s="83"/>
      <c r="J9" s="83"/>
      <c r="K9" s="83"/>
      <c r="L9" s="65"/>
      <c r="M9" s="83"/>
      <c r="N9" s="82"/>
      <c r="O9" s="111"/>
      <c r="P9" s="83"/>
      <c r="Q9" s="83"/>
      <c r="R9" s="83"/>
      <c r="S9" s="83"/>
      <c r="T9" s="66" t="n">
        <v>0</v>
      </c>
      <c r="U9" s="66" t="n">
        <f aca="false">$D9*F9</f>
        <v>0</v>
      </c>
      <c r="V9" s="66" t="n">
        <f aca="false">$D9*G9</f>
        <v>0</v>
      </c>
      <c r="W9" s="66" t="n">
        <f aca="false">$D9*H9</f>
        <v>0</v>
      </c>
      <c r="X9" s="66" t="n">
        <f aca="false">$D9*I9</f>
        <v>0</v>
      </c>
      <c r="Y9" s="66" t="n">
        <f aca="false">$D9*J9</f>
        <v>0</v>
      </c>
      <c r="Z9" s="66" t="n">
        <f aca="false">$D9*K9</f>
        <v>0</v>
      </c>
      <c r="AA9" s="66" t="n">
        <f aca="false">$D9*L9</f>
        <v>0</v>
      </c>
      <c r="AB9" s="66" t="n">
        <f aca="false">$D9*M9</f>
        <v>0</v>
      </c>
      <c r="AC9" s="92" t="n">
        <f aca="false">$D9*N9</f>
        <v>0</v>
      </c>
      <c r="AD9" s="92" t="n">
        <f aca="false">$D9*O9</f>
        <v>0</v>
      </c>
      <c r="AE9" s="92" t="n">
        <f aca="false">$D9*P9</f>
        <v>0</v>
      </c>
      <c r="AF9" s="92" t="n">
        <f aca="false">$D9*Q9</f>
        <v>0</v>
      </c>
      <c r="AG9" s="92" t="n">
        <f aca="false">$D9*R9</f>
        <v>0</v>
      </c>
      <c r="AH9" s="92" t="n">
        <f aca="false">$D9*S9</f>
        <v>0</v>
      </c>
      <c r="AI9" s="95" t="n">
        <f aca="false">AJ9/$AI$2</f>
        <v>0</v>
      </c>
      <c r="AJ9" s="66" t="n">
        <f aca="false">SUM(T9:AH9)</f>
        <v>0</v>
      </c>
    </row>
    <row r="10" customFormat="false" ht="15.75" hidden="false" customHeight="true" outlineLevel="0" collapsed="false">
      <c r="A10" s="52" t="n">
        <v>7</v>
      </c>
      <c r="B10" s="53" t="s">
        <v>62</v>
      </c>
      <c r="C10" s="54" t="s">
        <v>63</v>
      </c>
      <c r="D10" s="55" t="n">
        <f aca="false">VLOOKUP(C10,'[1]PREÇO ATUAL'!$A$1:$D$1048576,4,0)</f>
        <v>81.26</v>
      </c>
      <c r="E10" s="69" t="n">
        <v>3.36</v>
      </c>
      <c r="F10" s="69" t="n">
        <v>3.36</v>
      </c>
      <c r="G10" s="69" t="n">
        <v>3.36</v>
      </c>
      <c r="H10" s="69" t="n">
        <v>3.36</v>
      </c>
      <c r="I10" s="69" t="n">
        <v>3.36</v>
      </c>
      <c r="J10" s="69" t="n">
        <v>3.36</v>
      </c>
      <c r="K10" s="69" t="n">
        <v>3.36</v>
      </c>
      <c r="L10" s="69" t="n">
        <v>3.36</v>
      </c>
      <c r="M10" s="69" t="n">
        <v>3.36</v>
      </c>
      <c r="N10" s="69" t="n">
        <v>3.36</v>
      </c>
      <c r="O10" s="69" t="n">
        <v>3.36</v>
      </c>
      <c r="P10" s="69" t="n">
        <v>3.36</v>
      </c>
      <c r="Q10" s="69" t="n">
        <v>3.36</v>
      </c>
      <c r="R10" s="69" t="n">
        <v>3.36</v>
      </c>
      <c r="S10" s="69" t="n">
        <v>3.36</v>
      </c>
      <c r="T10" s="58" t="n">
        <f aca="false">$D$10*E10</f>
        <v>273.0336</v>
      </c>
      <c r="U10" s="58" t="n">
        <f aca="false">$D$10*F10</f>
        <v>273.0336</v>
      </c>
      <c r="V10" s="58" t="n">
        <f aca="false">$D$10*G10</f>
        <v>273.0336</v>
      </c>
      <c r="W10" s="58" t="n">
        <f aca="false">$D$10*H10</f>
        <v>273.0336</v>
      </c>
      <c r="X10" s="58" t="n">
        <f aca="false">$D$10*I10</f>
        <v>273.0336</v>
      </c>
      <c r="Y10" s="58" t="n">
        <f aca="false">$D$10*J10</f>
        <v>273.0336</v>
      </c>
      <c r="Z10" s="58" t="n">
        <f aca="false">$D$10*K10</f>
        <v>273.0336</v>
      </c>
      <c r="AA10" s="58" t="n">
        <f aca="false">$D$10*L10</f>
        <v>273.0336</v>
      </c>
      <c r="AB10" s="58" t="n">
        <f aca="false">$D$10*M10</f>
        <v>273.0336</v>
      </c>
      <c r="AC10" s="91" t="n">
        <f aca="false">$D$10*N10</f>
        <v>273.0336</v>
      </c>
      <c r="AD10" s="91" t="n">
        <f aca="false">$D$10*O10</f>
        <v>273.0336</v>
      </c>
      <c r="AE10" s="91" t="n">
        <f aca="false">$D$10*P10</f>
        <v>273.0336</v>
      </c>
      <c r="AF10" s="91" t="n">
        <f aca="false">$D$10*Q10</f>
        <v>273.0336</v>
      </c>
      <c r="AG10" s="91" t="n">
        <f aca="false">$D$10*R10</f>
        <v>273.0336</v>
      </c>
      <c r="AH10" s="91" t="n">
        <f aca="false">$D$10*S10</f>
        <v>273.0336</v>
      </c>
      <c r="AI10" s="94" t="n">
        <f aca="false">AJ10/$AI$2</f>
        <v>0.305475050346834</v>
      </c>
      <c r="AJ10" s="58" t="n">
        <f aca="false">SUM(T10:AH10)</f>
        <v>4095.504</v>
      </c>
    </row>
    <row r="11" customFormat="false" ht="15.75" hidden="false" customHeight="true" outlineLevel="0" collapsed="false">
      <c r="A11" s="60" t="n">
        <v>8</v>
      </c>
      <c r="B11" s="61" t="s">
        <v>64</v>
      </c>
      <c r="C11" s="62" t="s">
        <v>65</v>
      </c>
      <c r="D11" s="63" t="n">
        <f aca="false">VLOOKUP(C11,'[1]PREÇO ATUAL'!$A$1:$D$1048576,4,0)</f>
        <v>342</v>
      </c>
      <c r="E11" s="82" t="n">
        <v>0.8</v>
      </c>
      <c r="F11" s="82" t="n">
        <v>0.95</v>
      </c>
      <c r="G11" s="82" t="n">
        <v>0.8</v>
      </c>
      <c r="H11" s="82" t="n">
        <v>1.25</v>
      </c>
      <c r="I11" s="83" t="n">
        <v>0.95</v>
      </c>
      <c r="J11" s="83" t="n">
        <v>0.95</v>
      </c>
      <c r="K11" s="83" t="n">
        <v>0.8</v>
      </c>
      <c r="L11" s="83" t="n">
        <v>1.25</v>
      </c>
      <c r="M11" s="83" t="n">
        <v>0.8</v>
      </c>
      <c r="N11" s="82" t="n">
        <v>1.1</v>
      </c>
      <c r="O11" s="111" t="n">
        <v>0.8</v>
      </c>
      <c r="P11" s="83" t="n">
        <v>1.25</v>
      </c>
      <c r="Q11" s="83" t="n">
        <v>0.8</v>
      </c>
      <c r="R11" s="83" t="n">
        <v>0.95</v>
      </c>
      <c r="S11" s="83" t="n">
        <v>0.95</v>
      </c>
      <c r="T11" s="66" t="n">
        <f aca="false">D11*E11</f>
        <v>273.6</v>
      </c>
      <c r="U11" s="66" t="n">
        <f aca="false">$D$11*F11</f>
        <v>324.9</v>
      </c>
      <c r="V11" s="66" t="n">
        <f aca="false">$D$11*G11</f>
        <v>273.6</v>
      </c>
      <c r="W11" s="66" t="n">
        <f aca="false">$D$11*H11</f>
        <v>427.5</v>
      </c>
      <c r="X11" s="66" t="n">
        <f aca="false">$D$11*I11</f>
        <v>324.9</v>
      </c>
      <c r="Y11" s="66" t="n">
        <f aca="false">$D$11*J11</f>
        <v>324.9</v>
      </c>
      <c r="Z11" s="66" t="n">
        <f aca="false">$D$11*K11</f>
        <v>273.6</v>
      </c>
      <c r="AA11" s="66" t="n">
        <f aca="false">$D$11*L11</f>
        <v>427.5</v>
      </c>
      <c r="AB11" s="66" t="n">
        <f aca="false">$D$11*M11</f>
        <v>273.6</v>
      </c>
      <c r="AC11" s="92" t="n">
        <f aca="false">$D$11*N11</f>
        <v>376.2</v>
      </c>
      <c r="AD11" s="92" t="n">
        <f aca="false">$D$11*O11</f>
        <v>273.6</v>
      </c>
      <c r="AE11" s="92" t="n">
        <f aca="false">$D$11*P11</f>
        <v>427.5</v>
      </c>
      <c r="AF11" s="92" t="n">
        <f aca="false">$D$11*Q11</f>
        <v>273.6</v>
      </c>
      <c r="AG11" s="92" t="n">
        <f aca="false">$D$11*R11</f>
        <v>324.9</v>
      </c>
      <c r="AH11" s="92" t="n">
        <f aca="false">$D$11*S11</f>
        <v>324.9</v>
      </c>
      <c r="AI11" s="95" t="n">
        <f aca="false">AJ11/$AI$2</f>
        <v>0.367330498993063</v>
      </c>
      <c r="AJ11" s="66" t="n">
        <f aca="false">SUM(T11:AH11)</f>
        <v>4924.8</v>
      </c>
    </row>
    <row r="12" customFormat="false" ht="15.75" hidden="false" customHeight="true" outlineLevel="0" collapsed="false">
      <c r="H12" s="93"/>
    </row>
    <row r="13" customFormat="false" ht="15" hidden="false" customHeight="false" outlineLevel="0" collapsed="false">
      <c r="A13" s="74" t="s">
        <v>159</v>
      </c>
      <c r="B13" s="74"/>
      <c r="C13" s="74"/>
      <c r="D13" s="74"/>
      <c r="E13" s="86" t="s">
        <v>29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77" t="s">
        <v>30</v>
      </c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37" t="s">
        <v>31</v>
      </c>
      <c r="AJ13" s="37"/>
    </row>
    <row r="14" customFormat="false" ht="15" hidden="false" customHeight="false" outlineLevel="0" collapsed="false">
      <c r="A14" s="74"/>
      <c r="B14" s="74"/>
      <c r="C14" s="74"/>
      <c r="D14" s="74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43" t="n">
        <f aca="false">MROUND(SUM(T16:T24),1)</f>
        <v>627</v>
      </c>
      <c r="U14" s="43" t="n">
        <f aca="false">MROUND(SUM(U16:U24),1)</f>
        <v>714</v>
      </c>
      <c r="V14" s="43" t="n">
        <f aca="false">MROUND(SUM(V16:V24),1)</f>
        <v>716</v>
      </c>
      <c r="W14" s="43" t="n">
        <f aca="false">MROUND(SUM(W16:W24),1)</f>
        <v>1520</v>
      </c>
      <c r="X14" s="43" t="n">
        <f aca="false">MROUND(SUM(X16:X24),1)</f>
        <v>678</v>
      </c>
      <c r="Y14" s="43" t="n">
        <f aca="false">MROUND(SUM(Y16:Y24),1)</f>
        <v>947</v>
      </c>
      <c r="Z14" s="43" t="n">
        <f aca="false">MROUND(SUM(Z16:Z24),1)</f>
        <v>627</v>
      </c>
      <c r="AA14" s="43" t="n">
        <f aca="false">MROUND(SUM(AA16:AA24),1)</f>
        <v>1520</v>
      </c>
      <c r="AB14" s="43" t="n">
        <f aca="false">MROUND(SUM(AB16:AB24),1)</f>
        <v>716</v>
      </c>
      <c r="AC14" s="43" t="n">
        <f aca="false">MROUND(SUM(AC16:AC24),1)</f>
        <v>765</v>
      </c>
      <c r="AD14" s="43" t="n">
        <f aca="false">MROUND(SUM(AD16:AD24),1)</f>
        <v>627</v>
      </c>
      <c r="AE14" s="43" t="n">
        <f aca="false">MROUND(SUM(AE16:AE24),1)</f>
        <v>2085</v>
      </c>
      <c r="AF14" s="43" t="n">
        <f aca="false">MROUND(SUM(AF16:AF24),1)</f>
        <v>627</v>
      </c>
      <c r="AG14" s="43" t="n">
        <f aca="false">MROUND(SUM(AG16:AG24),1)</f>
        <v>714</v>
      </c>
      <c r="AH14" s="43" t="n">
        <f aca="false">MROUND(SUM(AH16:AH24),1)</f>
        <v>768</v>
      </c>
      <c r="AI14" s="44" t="n">
        <f aca="false">SUM(T14:AH14)</f>
        <v>13651</v>
      </c>
      <c r="AJ14" s="44"/>
    </row>
    <row r="15" customFormat="false" ht="15" hidden="false" customHeight="false" outlineLevel="0" collapsed="false">
      <c r="A15" s="45" t="s">
        <v>32</v>
      </c>
      <c r="B15" s="45" t="s">
        <v>33</v>
      </c>
      <c r="C15" s="45" t="s">
        <v>34</v>
      </c>
      <c r="D15" s="47" t="s">
        <v>35</v>
      </c>
      <c r="E15" s="48" t="s">
        <v>36</v>
      </c>
      <c r="F15" s="48" t="s">
        <v>37</v>
      </c>
      <c r="G15" s="48" t="s">
        <v>38</v>
      </c>
      <c r="H15" s="48" t="s">
        <v>39</v>
      </c>
      <c r="I15" s="48" t="s">
        <v>40</v>
      </c>
      <c r="J15" s="48" t="s">
        <v>41</v>
      </c>
      <c r="K15" s="48" t="s">
        <v>42</v>
      </c>
      <c r="L15" s="48" t="s">
        <v>43</v>
      </c>
      <c r="M15" s="48" t="s">
        <v>44</v>
      </c>
      <c r="N15" s="48" t="s">
        <v>45</v>
      </c>
      <c r="O15" s="48" t="s">
        <v>142</v>
      </c>
      <c r="P15" s="48" t="s">
        <v>143</v>
      </c>
      <c r="Q15" s="48" t="s">
        <v>144</v>
      </c>
      <c r="R15" s="48" t="s">
        <v>145</v>
      </c>
      <c r="S15" s="48" t="s">
        <v>146</v>
      </c>
      <c r="T15" s="48" t="n">
        <v>10000</v>
      </c>
      <c r="U15" s="48" t="n">
        <v>20000</v>
      </c>
      <c r="V15" s="48" t="n">
        <v>30000</v>
      </c>
      <c r="W15" s="48" t="n">
        <v>40000</v>
      </c>
      <c r="X15" s="48" t="n">
        <v>50000</v>
      </c>
      <c r="Y15" s="48" t="n">
        <v>60000</v>
      </c>
      <c r="Z15" s="48" t="n">
        <v>70000</v>
      </c>
      <c r="AA15" s="48" t="n">
        <v>80000</v>
      </c>
      <c r="AB15" s="48" t="n">
        <v>90000</v>
      </c>
      <c r="AC15" s="48" t="n">
        <v>100000</v>
      </c>
      <c r="AD15" s="48" t="n">
        <f aca="false">AC15+10000</f>
        <v>110000</v>
      </c>
      <c r="AE15" s="48" t="n">
        <f aca="false">AD15+10000</f>
        <v>120000</v>
      </c>
      <c r="AF15" s="48" t="n">
        <f aca="false">AE15+10000</f>
        <v>130000</v>
      </c>
      <c r="AG15" s="48" t="n">
        <f aca="false">AF15+10000</f>
        <v>140000</v>
      </c>
      <c r="AH15" s="48" t="n">
        <f aca="false">AG15+10000</f>
        <v>150000</v>
      </c>
      <c r="AI15" s="51" t="n">
        <f aca="false">SUM(AI16:AI24)</f>
        <v>1.01803686432461</v>
      </c>
      <c r="AJ15" s="45" t="s">
        <v>47</v>
      </c>
    </row>
    <row r="16" customFormat="false" ht="15" hidden="false" customHeight="false" outlineLevel="0" collapsed="false">
      <c r="A16" s="52" t="n">
        <v>1</v>
      </c>
      <c r="B16" s="53" t="s">
        <v>48</v>
      </c>
      <c r="C16" s="54" t="s">
        <v>49</v>
      </c>
      <c r="D16" s="55" t="n">
        <f aca="false">VLOOKUP(C16,'[1]PREÇO ATUAL'!$A$1:$D$1048576,4,0)</f>
        <v>79.9</v>
      </c>
      <c r="E16" s="56" t="n">
        <v>1</v>
      </c>
      <c r="F16" s="56" t="n">
        <v>1</v>
      </c>
      <c r="G16" s="56" t="n">
        <v>1</v>
      </c>
      <c r="H16" s="56" t="n">
        <v>1</v>
      </c>
      <c r="I16" s="57" t="n">
        <v>1</v>
      </c>
      <c r="J16" s="57" t="n">
        <v>1</v>
      </c>
      <c r="K16" s="57" t="n">
        <v>1</v>
      </c>
      <c r="L16" s="57" t="n">
        <v>1</v>
      </c>
      <c r="M16" s="57" t="n">
        <v>1</v>
      </c>
      <c r="N16" s="56" t="n">
        <v>1</v>
      </c>
      <c r="O16" s="57" t="n">
        <v>1</v>
      </c>
      <c r="P16" s="56" t="n">
        <v>1</v>
      </c>
      <c r="Q16" s="57" t="n">
        <v>1</v>
      </c>
      <c r="R16" s="56" t="n">
        <v>1</v>
      </c>
      <c r="S16" s="56" t="n">
        <v>1</v>
      </c>
      <c r="T16" s="58" t="n">
        <f aca="false">$D16*E16</f>
        <v>79.9</v>
      </c>
      <c r="U16" s="58" t="n">
        <f aca="false">$D16*F16</f>
        <v>79.9</v>
      </c>
      <c r="V16" s="58" t="n">
        <f aca="false">$D16*G16</f>
        <v>79.9</v>
      </c>
      <c r="W16" s="58" t="n">
        <f aca="false">$D16*H16</f>
        <v>79.9</v>
      </c>
      <c r="X16" s="58" t="n">
        <f aca="false">$D16*I16</f>
        <v>79.9</v>
      </c>
      <c r="Y16" s="58" t="n">
        <f aca="false">$D16*J16</f>
        <v>79.9</v>
      </c>
      <c r="Z16" s="58" t="n">
        <f aca="false">$D16*K16</f>
        <v>79.9</v>
      </c>
      <c r="AA16" s="58" t="n">
        <f aca="false">$D16*L16</f>
        <v>79.9</v>
      </c>
      <c r="AB16" s="58" t="n">
        <f aca="false">$D16*M16</f>
        <v>79.9</v>
      </c>
      <c r="AC16" s="91" t="n">
        <f aca="false">$D16*N16</f>
        <v>79.9</v>
      </c>
      <c r="AD16" s="91" t="n">
        <f aca="false">$D16*O16</f>
        <v>79.9</v>
      </c>
      <c r="AE16" s="91" t="n">
        <f aca="false">$D16*P16</f>
        <v>79.9</v>
      </c>
      <c r="AF16" s="91" t="n">
        <f aca="false">$D16*Q16</f>
        <v>79.9</v>
      </c>
      <c r="AG16" s="91" t="n">
        <f aca="false">$D16*R16</f>
        <v>79.9</v>
      </c>
      <c r="AH16" s="91" t="n">
        <f aca="false">$D16*S16</f>
        <v>79.9</v>
      </c>
      <c r="AI16" s="94" t="n">
        <f aca="false">AJ16/$AI$2</f>
        <v>0.0893936003580219</v>
      </c>
      <c r="AJ16" s="58" t="n">
        <f aca="false">SUM(T16:AH16)</f>
        <v>1198.5</v>
      </c>
    </row>
    <row r="17" customFormat="false" ht="15" hidden="false" customHeight="false" outlineLevel="0" collapsed="false">
      <c r="A17" s="60" t="n">
        <v>2</v>
      </c>
      <c r="B17" s="61" t="s">
        <v>50</v>
      </c>
      <c r="C17" s="62" t="s">
        <v>51</v>
      </c>
      <c r="D17" s="63" t="n">
        <f aca="false">VLOOKUP(C17,'[1]PREÇO ATUAL'!$A$1:$D$1048576,4,0)</f>
        <v>35.9</v>
      </c>
      <c r="E17" s="64"/>
      <c r="F17" s="64" t="n">
        <v>1</v>
      </c>
      <c r="G17" s="64"/>
      <c r="H17" s="64" t="n">
        <v>1</v>
      </c>
      <c r="I17" s="65"/>
      <c r="J17" s="65" t="n">
        <v>1</v>
      </c>
      <c r="K17" s="65"/>
      <c r="L17" s="65" t="n">
        <v>1</v>
      </c>
      <c r="M17" s="65"/>
      <c r="N17" s="64" t="n">
        <v>1</v>
      </c>
      <c r="O17" s="65"/>
      <c r="P17" s="64" t="n">
        <v>1</v>
      </c>
      <c r="Q17" s="65"/>
      <c r="R17" s="64" t="n">
        <v>1</v>
      </c>
      <c r="S17" s="64"/>
      <c r="T17" s="66" t="n">
        <f aca="false">$D17*E17</f>
        <v>0</v>
      </c>
      <c r="U17" s="66" t="n">
        <f aca="false">$D17*F17</f>
        <v>35.9</v>
      </c>
      <c r="V17" s="66" t="n">
        <f aca="false">$D17*G17</f>
        <v>0</v>
      </c>
      <c r="W17" s="66" t="n">
        <f aca="false">$D17*H17</f>
        <v>35.9</v>
      </c>
      <c r="X17" s="66" t="n">
        <f aca="false">$D17*I17</f>
        <v>0</v>
      </c>
      <c r="Y17" s="66" t="n">
        <f aca="false">$D17*J17</f>
        <v>35.9</v>
      </c>
      <c r="Z17" s="66" t="n">
        <f aca="false">$D17*K17</f>
        <v>0</v>
      </c>
      <c r="AA17" s="66" t="n">
        <f aca="false">$D17*L17</f>
        <v>35.9</v>
      </c>
      <c r="AB17" s="66" t="n">
        <f aca="false">$D17*M17</f>
        <v>0</v>
      </c>
      <c r="AC17" s="92" t="n">
        <f aca="false">$D17*N17</f>
        <v>35.9</v>
      </c>
      <c r="AD17" s="92" t="n">
        <f aca="false">$D17*O17</f>
        <v>0</v>
      </c>
      <c r="AE17" s="92" t="n">
        <f aca="false">$D17*P17</f>
        <v>35.9</v>
      </c>
      <c r="AF17" s="92" t="n">
        <f aca="false">$D17*Q17</f>
        <v>0</v>
      </c>
      <c r="AG17" s="92" t="n">
        <f aca="false">$D17*R17</f>
        <v>35.9</v>
      </c>
      <c r="AH17" s="92" t="n">
        <f aca="false">$D17*S17</f>
        <v>0</v>
      </c>
      <c r="AI17" s="95" t="n">
        <f aca="false">AJ17/$AI$2</f>
        <v>0.0187439397329753</v>
      </c>
      <c r="AJ17" s="66" t="n">
        <f aca="false">SUM(T17:AH17)</f>
        <v>251.3</v>
      </c>
    </row>
    <row r="18" customFormat="false" ht="15" hidden="false" customHeight="false" outlineLevel="0" collapsed="false">
      <c r="A18" s="52" t="n">
        <v>3</v>
      </c>
      <c r="B18" s="53" t="s">
        <v>52</v>
      </c>
      <c r="C18" s="54" t="s">
        <v>53</v>
      </c>
      <c r="D18" s="55" t="n">
        <f aca="false">VLOOKUP(C18,'[1]PREÇO ATUAL'!$A$1:$D$1048576,4,0)</f>
        <v>89.9</v>
      </c>
      <c r="E18" s="56"/>
      <c r="F18" s="56"/>
      <c r="G18" s="56" t="n">
        <v>1</v>
      </c>
      <c r="H18" s="56"/>
      <c r="I18" s="57"/>
      <c r="J18" s="57" t="n">
        <v>1</v>
      </c>
      <c r="K18" s="57"/>
      <c r="L18" s="57"/>
      <c r="M18" s="57" t="n">
        <v>1</v>
      </c>
      <c r="N18" s="56"/>
      <c r="O18" s="80"/>
      <c r="P18" s="57" t="n">
        <v>1</v>
      </c>
      <c r="Q18" s="57"/>
      <c r="R18" s="57"/>
      <c r="S18" s="57" t="n">
        <v>1</v>
      </c>
      <c r="T18" s="58" t="n">
        <f aca="false">$D18*E18</f>
        <v>0</v>
      </c>
      <c r="U18" s="58" t="n">
        <f aca="false">$D18*F18</f>
        <v>0</v>
      </c>
      <c r="V18" s="58" t="n">
        <f aca="false">$D18*G18</f>
        <v>89.9</v>
      </c>
      <c r="W18" s="58" t="n">
        <f aca="false">$D18*H18</f>
        <v>0</v>
      </c>
      <c r="X18" s="58" t="n">
        <f aca="false">$D18*I18</f>
        <v>0</v>
      </c>
      <c r="Y18" s="58" t="n">
        <f aca="false">$D18*J18</f>
        <v>89.9</v>
      </c>
      <c r="Z18" s="58" t="n">
        <f aca="false">$D18*K18</f>
        <v>0</v>
      </c>
      <c r="AA18" s="58" t="n">
        <f aca="false">$D18*L18</f>
        <v>0</v>
      </c>
      <c r="AB18" s="58" t="n">
        <f aca="false">$D18*M18</f>
        <v>89.9</v>
      </c>
      <c r="AC18" s="91" t="n">
        <f aca="false">$D18*N18</f>
        <v>0</v>
      </c>
      <c r="AD18" s="91" t="n">
        <f aca="false">$D18*O18</f>
        <v>0</v>
      </c>
      <c r="AE18" s="91" t="n">
        <f aca="false">$D18*P18</f>
        <v>89.9</v>
      </c>
      <c r="AF18" s="91" t="n">
        <f aca="false">$D18*Q18</f>
        <v>0</v>
      </c>
      <c r="AG18" s="91" t="n">
        <f aca="false">$D18*R18</f>
        <v>0</v>
      </c>
      <c r="AH18" s="91" t="n">
        <f aca="false">$D18*S18</f>
        <v>89.9</v>
      </c>
      <c r="AI18" s="94" t="n">
        <f aca="false">AJ18/$AI$2</f>
        <v>0.0335272618781234</v>
      </c>
      <c r="AJ18" s="58" t="n">
        <f aca="false">SUM(T18:AH18)</f>
        <v>449.5</v>
      </c>
    </row>
    <row r="19" customFormat="false" ht="15" hidden="false" customHeight="false" outlineLevel="0" collapsed="false">
      <c r="A19" s="60" t="n">
        <v>4</v>
      </c>
      <c r="B19" s="61" t="s">
        <v>54</v>
      </c>
      <c r="C19" s="62" t="s">
        <v>55</v>
      </c>
      <c r="D19" s="63" t="n">
        <f aca="false">VLOOKUP(C19,'[1]PREÇO ATUAL'!$A$1:$D$1048576,4,0)</f>
        <v>175.9</v>
      </c>
      <c r="E19" s="64"/>
      <c r="F19" s="64"/>
      <c r="G19" s="64"/>
      <c r="H19" s="64" t="n">
        <v>4</v>
      </c>
      <c r="I19" s="65"/>
      <c r="J19" s="65"/>
      <c r="K19" s="65"/>
      <c r="L19" s="65" t="n">
        <v>4</v>
      </c>
      <c r="M19" s="65"/>
      <c r="N19" s="64"/>
      <c r="O19" s="79"/>
      <c r="P19" s="65" t="n">
        <v>4</v>
      </c>
      <c r="Q19" s="65"/>
      <c r="R19" s="65"/>
      <c r="S19" s="65"/>
      <c r="T19" s="66" t="n">
        <f aca="false">$D19*E19</f>
        <v>0</v>
      </c>
      <c r="U19" s="66" t="n">
        <f aca="false">$D19*F19</f>
        <v>0</v>
      </c>
      <c r="V19" s="66" t="n">
        <f aca="false">$D19*G19</f>
        <v>0</v>
      </c>
      <c r="W19" s="66" t="n">
        <f aca="false">$D19*H19</f>
        <v>703.6</v>
      </c>
      <c r="X19" s="66" t="n">
        <f aca="false">$D19*I19</f>
        <v>0</v>
      </c>
      <c r="Y19" s="66" t="n">
        <f aca="false">$D19*J19</f>
        <v>0</v>
      </c>
      <c r="Z19" s="66" t="n">
        <f aca="false">$D19*K19</f>
        <v>0</v>
      </c>
      <c r="AA19" s="66" t="n">
        <f aca="false">$D19*L19</f>
        <v>703.6</v>
      </c>
      <c r="AB19" s="66" t="n">
        <f aca="false">$D19*M19</f>
        <v>0</v>
      </c>
      <c r="AC19" s="92" t="n">
        <f aca="false">$D19*N19</f>
        <v>0</v>
      </c>
      <c r="AD19" s="92" t="n">
        <f aca="false">$D19*O19</f>
        <v>0</v>
      </c>
      <c r="AE19" s="92" t="n">
        <f aca="false">$D19*P19</f>
        <v>703.6</v>
      </c>
      <c r="AF19" s="92" t="n">
        <f aca="false">$D19*Q19</f>
        <v>0</v>
      </c>
      <c r="AG19" s="92" t="n">
        <f aca="false">$D19*R19</f>
        <v>0</v>
      </c>
      <c r="AH19" s="92" t="n">
        <f aca="false">$D19*S19</f>
        <v>0</v>
      </c>
      <c r="AI19" s="95" t="n">
        <f aca="false">AJ19/$AI$2</f>
        <v>0.157440143208772</v>
      </c>
      <c r="AJ19" s="66" t="n">
        <f aca="false">SUM(T19:AH19)</f>
        <v>2110.8</v>
      </c>
    </row>
    <row r="20" customFormat="false" ht="15.75" hidden="false" customHeight="true" outlineLevel="0" collapsed="false">
      <c r="A20" s="52" t="n">
        <v>5</v>
      </c>
      <c r="B20" s="53" t="s">
        <v>56</v>
      </c>
      <c r="C20" s="54" t="s">
        <v>57</v>
      </c>
      <c r="D20" s="55" t="n">
        <f aca="false">VLOOKUP(C20,'[1]PREÇO ATUAL'!$A$1:$D$1048576,4,0)</f>
        <v>143.23</v>
      </c>
      <c r="E20" s="56"/>
      <c r="F20" s="56"/>
      <c r="G20" s="56"/>
      <c r="H20" s="56"/>
      <c r="I20" s="57"/>
      <c r="J20" s="57" t="n">
        <v>1</v>
      </c>
      <c r="K20" s="57"/>
      <c r="L20" s="57"/>
      <c r="M20" s="57"/>
      <c r="N20" s="56"/>
      <c r="O20" s="80"/>
      <c r="P20" s="57" t="n">
        <v>1</v>
      </c>
      <c r="Q20" s="57"/>
      <c r="R20" s="57"/>
      <c r="S20" s="57"/>
      <c r="T20" s="58" t="n">
        <f aca="false">$D20*E20</f>
        <v>0</v>
      </c>
      <c r="U20" s="58" t="n">
        <f aca="false">$D20*F20</f>
        <v>0</v>
      </c>
      <c r="V20" s="58" t="n">
        <f aca="false">$D20*G20</f>
        <v>0</v>
      </c>
      <c r="W20" s="58" t="n">
        <f aca="false">$D20*H20</f>
        <v>0</v>
      </c>
      <c r="X20" s="58" t="n">
        <f aca="false">$D20*I20</f>
        <v>0</v>
      </c>
      <c r="Y20" s="58" t="n">
        <f aca="false">$D20*J20</f>
        <v>143.23</v>
      </c>
      <c r="Z20" s="58" t="n">
        <f aca="false">$D20*K20</f>
        <v>0</v>
      </c>
      <c r="AA20" s="58" t="n">
        <f aca="false">$D20*L20</f>
        <v>0</v>
      </c>
      <c r="AB20" s="58" t="n">
        <f aca="false">$D20*M20</f>
        <v>0</v>
      </c>
      <c r="AC20" s="91" t="n">
        <f aca="false">$D20*N20</f>
        <v>0</v>
      </c>
      <c r="AD20" s="91" t="n">
        <f aca="false">$D20*O20</f>
        <v>0</v>
      </c>
      <c r="AE20" s="91" t="n">
        <f aca="false">$D20*P20</f>
        <v>143.23</v>
      </c>
      <c r="AF20" s="91" t="n">
        <f aca="false">$D20*Q20</f>
        <v>0</v>
      </c>
      <c r="AG20" s="91" t="n">
        <f aca="false">$D20*R20</f>
        <v>0</v>
      </c>
      <c r="AH20" s="91" t="n">
        <f aca="false">$D20*S20</f>
        <v>0</v>
      </c>
      <c r="AI20" s="94" t="n">
        <f aca="false">AJ20/$AI$2</f>
        <v>0.0213664503617513</v>
      </c>
      <c r="AJ20" s="58" t="n">
        <f aca="false">SUM(T20:AH20)</f>
        <v>286.46</v>
      </c>
    </row>
    <row r="21" customFormat="false" ht="15.75" hidden="false" customHeight="true" outlineLevel="0" collapsed="false">
      <c r="A21" s="60" t="n">
        <v>6</v>
      </c>
      <c r="B21" s="61" t="s">
        <v>60</v>
      </c>
      <c r="C21" s="62" t="s">
        <v>61</v>
      </c>
      <c r="D21" s="63" t="n">
        <f aca="false">VLOOKUP(C21,'[1]PREÇO ATUAL'!$A$1:$D$1048576,4,0)</f>
        <v>33.6224930838505</v>
      </c>
      <c r="E21" s="82"/>
      <c r="F21" s="82"/>
      <c r="G21" s="82"/>
      <c r="H21" s="64"/>
      <c r="I21" s="83"/>
      <c r="J21" s="83"/>
      <c r="K21" s="83"/>
      <c r="L21" s="65"/>
      <c r="M21" s="83"/>
      <c r="N21" s="82"/>
      <c r="O21" s="111"/>
      <c r="P21" s="83"/>
      <c r="Q21" s="83"/>
      <c r="R21" s="83"/>
      <c r="S21" s="83"/>
      <c r="T21" s="66" t="n">
        <v>0</v>
      </c>
      <c r="U21" s="66" t="n">
        <f aca="false">$D21*F21</f>
        <v>0</v>
      </c>
      <c r="V21" s="66" t="n">
        <f aca="false">$D21*G21</f>
        <v>0</v>
      </c>
      <c r="W21" s="66" t="n">
        <f aca="false">$D21*H21</f>
        <v>0</v>
      </c>
      <c r="X21" s="66" t="n">
        <f aca="false">$D21*I21</f>
        <v>0</v>
      </c>
      <c r="Y21" s="66" t="n">
        <f aca="false">$D21*J21</f>
        <v>0</v>
      </c>
      <c r="Z21" s="66" t="n">
        <f aca="false">$D21*K21</f>
        <v>0</v>
      </c>
      <c r="AA21" s="66" t="n">
        <f aca="false">$D21*L21</f>
        <v>0</v>
      </c>
      <c r="AB21" s="66" t="n">
        <f aca="false">$D21*M21</f>
        <v>0</v>
      </c>
      <c r="AC21" s="92" t="n">
        <f aca="false">$D21*N21</f>
        <v>0</v>
      </c>
      <c r="AD21" s="92" t="n">
        <f aca="false">$D21*O21</f>
        <v>0</v>
      </c>
      <c r="AE21" s="92" t="n">
        <f aca="false">$D21*P21</f>
        <v>0</v>
      </c>
      <c r="AF21" s="92" t="n">
        <f aca="false">$D21*Q21</f>
        <v>0</v>
      </c>
      <c r="AG21" s="92" t="n">
        <f aca="false">$D21*R21</f>
        <v>0</v>
      </c>
      <c r="AH21" s="92" t="n">
        <f aca="false">$D21*S21</f>
        <v>0</v>
      </c>
      <c r="AI21" s="95" t="n">
        <f aca="false">AJ21/$AI$2</f>
        <v>0</v>
      </c>
      <c r="AJ21" s="66" t="n">
        <f aca="false">SUM(T21:AH21)</f>
        <v>0</v>
      </c>
    </row>
    <row r="22" customFormat="false" ht="15.75" hidden="false" customHeight="true" outlineLevel="0" collapsed="false">
      <c r="A22" s="52" t="n">
        <v>7</v>
      </c>
      <c r="B22" s="53" t="s">
        <v>73</v>
      </c>
      <c r="C22" s="54" t="s">
        <v>59</v>
      </c>
      <c r="D22" s="55" t="n">
        <f aca="false">VLOOKUP(C22,'[1]PREÇO ATUAL'!$A$1:$D$1048576,4,0)</f>
        <v>165.97812</v>
      </c>
      <c r="E22" s="56"/>
      <c r="F22" s="56"/>
      <c r="G22" s="56"/>
      <c r="H22" s="56"/>
      <c r="I22" s="57"/>
      <c r="J22" s="57"/>
      <c r="K22" s="57"/>
      <c r="L22" s="57"/>
      <c r="M22" s="57"/>
      <c r="N22" s="56"/>
      <c r="O22" s="80"/>
      <c r="P22" s="109" t="n">
        <v>2</v>
      </c>
      <c r="Q22" s="57"/>
      <c r="R22" s="57"/>
      <c r="S22" s="57"/>
      <c r="T22" s="58" t="n">
        <f aca="false">$D22*E22</f>
        <v>0</v>
      </c>
      <c r="U22" s="58" t="n">
        <f aca="false">$D22*F22</f>
        <v>0</v>
      </c>
      <c r="V22" s="58" t="n">
        <f aca="false">$D22*G22</f>
        <v>0</v>
      </c>
      <c r="W22" s="58" t="n">
        <f aca="false">$D22*H22</f>
        <v>0</v>
      </c>
      <c r="X22" s="58" t="n">
        <f aca="false">$D22*I22</f>
        <v>0</v>
      </c>
      <c r="Y22" s="58" t="n">
        <f aca="false">$D22*J22</f>
        <v>0</v>
      </c>
      <c r="Z22" s="58" t="n">
        <f aca="false">$D22*K22</f>
        <v>0</v>
      </c>
      <c r="AA22" s="58" t="n">
        <f aca="false">$D22*L22</f>
        <v>0</v>
      </c>
      <c r="AB22" s="58" t="n">
        <f aca="false">$D22*M22</f>
        <v>0</v>
      </c>
      <c r="AC22" s="91" t="n">
        <f aca="false">$D22*N22</f>
        <v>0</v>
      </c>
      <c r="AD22" s="91" t="n">
        <f aca="false">$D22*O22</f>
        <v>0</v>
      </c>
      <c r="AE22" s="91" t="n">
        <f aca="false">$D22*P22</f>
        <v>331.95624</v>
      </c>
      <c r="AF22" s="91" t="n">
        <f aca="false">$D22*Q22</f>
        <v>0</v>
      </c>
      <c r="AG22" s="91" t="n">
        <f aca="false">$D22*R22</f>
        <v>0</v>
      </c>
      <c r="AH22" s="91" t="n">
        <f aca="false">$D22*S22</f>
        <v>0</v>
      </c>
      <c r="AI22" s="94" t="n">
        <f aca="false">AJ22/$AI$2</f>
        <v>0.024759919445066</v>
      </c>
      <c r="AJ22" s="58" t="n">
        <f aca="false">SUM(T22:AH22)</f>
        <v>331.95624</v>
      </c>
    </row>
    <row r="23" customFormat="false" ht="15.75" hidden="false" customHeight="true" outlineLevel="0" collapsed="false">
      <c r="A23" s="60" t="n">
        <v>8</v>
      </c>
      <c r="B23" s="61" t="s">
        <v>62</v>
      </c>
      <c r="C23" s="62" t="s">
        <v>63</v>
      </c>
      <c r="D23" s="63" t="n">
        <f aca="false">VLOOKUP(C23,'[1]PREÇO ATUAL'!$A$1:$D$1048576,4,0)</f>
        <v>81.26</v>
      </c>
      <c r="E23" s="82" t="n">
        <v>3.36</v>
      </c>
      <c r="F23" s="82" t="n">
        <v>3.36</v>
      </c>
      <c r="G23" s="82" t="n">
        <v>3.36</v>
      </c>
      <c r="H23" s="82" t="n">
        <v>3.36</v>
      </c>
      <c r="I23" s="83" t="n">
        <v>3.36</v>
      </c>
      <c r="J23" s="83" t="n">
        <v>3.36</v>
      </c>
      <c r="K23" s="83" t="n">
        <v>3.36</v>
      </c>
      <c r="L23" s="83" t="n">
        <v>3.36</v>
      </c>
      <c r="M23" s="83" t="n">
        <v>3.36</v>
      </c>
      <c r="N23" s="82" t="n">
        <v>3.36</v>
      </c>
      <c r="O23" s="111" t="n">
        <v>3.36</v>
      </c>
      <c r="P23" s="83" t="n">
        <v>3.36</v>
      </c>
      <c r="Q23" s="83" t="n">
        <v>3.36</v>
      </c>
      <c r="R23" s="83" t="n">
        <v>3.36</v>
      </c>
      <c r="S23" s="83" t="n">
        <v>3.36</v>
      </c>
      <c r="T23" s="66" t="n">
        <f aca="false">$D$10*E23</f>
        <v>273.0336</v>
      </c>
      <c r="U23" s="66" t="n">
        <f aca="false">$D$10*F23</f>
        <v>273.0336</v>
      </c>
      <c r="V23" s="66" t="n">
        <f aca="false">$D$10*G23</f>
        <v>273.0336</v>
      </c>
      <c r="W23" s="66" t="n">
        <f aca="false">$D$10*H23</f>
        <v>273.0336</v>
      </c>
      <c r="X23" s="66" t="n">
        <f aca="false">$D$10*I23</f>
        <v>273.0336</v>
      </c>
      <c r="Y23" s="66" t="n">
        <f aca="false">$D$10*J23</f>
        <v>273.0336</v>
      </c>
      <c r="Z23" s="66" t="n">
        <f aca="false">$D$10*K23</f>
        <v>273.0336</v>
      </c>
      <c r="AA23" s="66" t="n">
        <f aca="false">$D$10*L23</f>
        <v>273.0336</v>
      </c>
      <c r="AB23" s="66" t="n">
        <f aca="false">$D$10*M23</f>
        <v>273.0336</v>
      </c>
      <c r="AC23" s="92" t="n">
        <f aca="false">$D$10*N23</f>
        <v>273.0336</v>
      </c>
      <c r="AD23" s="92" t="n">
        <f aca="false">$D$10*O23</f>
        <v>273.0336</v>
      </c>
      <c r="AE23" s="92" t="n">
        <f aca="false">$D$10*P23</f>
        <v>273.0336</v>
      </c>
      <c r="AF23" s="92" t="n">
        <f aca="false">$D$10*Q23</f>
        <v>273.0336</v>
      </c>
      <c r="AG23" s="92" t="n">
        <f aca="false">$D$10*R23</f>
        <v>273.0336</v>
      </c>
      <c r="AH23" s="92" t="n">
        <f aca="false">$D$10*S23</f>
        <v>273.0336</v>
      </c>
      <c r="AI23" s="95" t="n">
        <f aca="false">AJ23/$AI$2</f>
        <v>0.305475050346834</v>
      </c>
      <c r="AJ23" s="66" t="n">
        <f aca="false">SUM(T23:AH23)</f>
        <v>4095.504</v>
      </c>
    </row>
    <row r="24" customFormat="false" ht="15.75" hidden="false" customHeight="true" outlineLevel="0" collapsed="false">
      <c r="A24" s="52" t="n">
        <v>9</v>
      </c>
      <c r="B24" s="53" t="s">
        <v>64</v>
      </c>
      <c r="C24" s="54" t="s">
        <v>65</v>
      </c>
      <c r="D24" s="55" t="n">
        <f aca="false">VLOOKUP(C24,'[1]PREÇO ATUAL'!$A$1:$D$1048576,4,0)</f>
        <v>342</v>
      </c>
      <c r="E24" s="84" t="n">
        <v>0.8</v>
      </c>
      <c r="F24" s="84" t="n">
        <v>0.95</v>
      </c>
      <c r="G24" s="84" t="n">
        <v>0.8</v>
      </c>
      <c r="H24" s="84" t="n">
        <v>1.25</v>
      </c>
      <c r="I24" s="85" t="n">
        <v>0.95</v>
      </c>
      <c r="J24" s="85" t="n">
        <v>0.95</v>
      </c>
      <c r="K24" s="85" t="n">
        <v>0.8</v>
      </c>
      <c r="L24" s="85" t="n">
        <v>1.25</v>
      </c>
      <c r="M24" s="85" t="n">
        <v>0.8</v>
      </c>
      <c r="N24" s="84" t="n">
        <v>1.1</v>
      </c>
      <c r="O24" s="110" t="n">
        <v>0.8</v>
      </c>
      <c r="P24" s="85" t="n">
        <v>1.25</v>
      </c>
      <c r="Q24" s="85" t="n">
        <v>0.8</v>
      </c>
      <c r="R24" s="85" t="n">
        <v>0.95</v>
      </c>
      <c r="S24" s="85" t="n">
        <v>0.95</v>
      </c>
      <c r="T24" s="58" t="n">
        <f aca="false">D24*E24</f>
        <v>273.6</v>
      </c>
      <c r="U24" s="58" t="n">
        <f aca="false">$D$11*F24</f>
        <v>324.9</v>
      </c>
      <c r="V24" s="58" t="n">
        <f aca="false">$D$11*G24</f>
        <v>273.6</v>
      </c>
      <c r="W24" s="58" t="n">
        <f aca="false">$D$11*H24</f>
        <v>427.5</v>
      </c>
      <c r="X24" s="58" t="n">
        <f aca="false">$D$11*I24</f>
        <v>324.9</v>
      </c>
      <c r="Y24" s="58" t="n">
        <f aca="false">$D$11*J24</f>
        <v>324.9</v>
      </c>
      <c r="Z24" s="58" t="n">
        <f aca="false">$D$11*K24</f>
        <v>273.6</v>
      </c>
      <c r="AA24" s="58" t="n">
        <f aca="false">$D$11*L24</f>
        <v>427.5</v>
      </c>
      <c r="AB24" s="58" t="n">
        <f aca="false">$D$11*M24</f>
        <v>273.6</v>
      </c>
      <c r="AC24" s="91" t="n">
        <f aca="false">$D$11*N24</f>
        <v>376.2</v>
      </c>
      <c r="AD24" s="91" t="n">
        <f aca="false">$D$11*O24</f>
        <v>273.6</v>
      </c>
      <c r="AE24" s="91" t="n">
        <f aca="false">$D$11*P24</f>
        <v>427.5</v>
      </c>
      <c r="AF24" s="91" t="n">
        <f aca="false">$D$11*Q24</f>
        <v>273.6</v>
      </c>
      <c r="AG24" s="91" t="n">
        <f aca="false">$D$11*R24</f>
        <v>324.9</v>
      </c>
      <c r="AH24" s="91" t="n">
        <f aca="false">$D$11*S24</f>
        <v>324.9</v>
      </c>
      <c r="AI24" s="94" t="n">
        <f aca="false">AJ24/$AI$2</f>
        <v>0.367330498993063</v>
      </c>
      <c r="AJ24" s="58" t="n">
        <f aca="false">SUM(T24:AH24)</f>
        <v>4924.8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>
      <c r="T27" s="122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</sheetData>
  <mergeCells count="10">
    <mergeCell ref="A1:D2"/>
    <mergeCell ref="E1:S2"/>
    <mergeCell ref="T1:AH1"/>
    <mergeCell ref="AI1:AJ1"/>
    <mergeCell ref="AI2:AJ2"/>
    <mergeCell ref="A13:D14"/>
    <mergeCell ref="E13:S14"/>
    <mergeCell ref="T13:AH13"/>
    <mergeCell ref="AI13:AJ13"/>
    <mergeCell ref="AI14:AJ1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Z9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B3" activeCellId="0" sqref="B3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46.29"/>
    <col collapsed="false" customWidth="true" hidden="false" outlineLevel="0" max="3" min="3" style="0" width="16.87"/>
    <col collapsed="false" customWidth="true" hidden="false" outlineLevel="0" max="4" min="4" style="0" width="8.71"/>
    <col collapsed="false" customWidth="true" hidden="false" outlineLevel="0" max="14" min="5" style="0" width="5.14"/>
    <col collapsed="false" customWidth="true" hidden="false" outlineLevel="0" max="15" min="15" style="0" width="14.15"/>
    <col collapsed="false" customWidth="true" hidden="false" outlineLevel="0" max="17" min="16" style="0" width="13.43"/>
    <col collapsed="false" customWidth="true" hidden="false" outlineLevel="0" max="18" min="18" style="0" width="15.42"/>
    <col collapsed="false" customWidth="true" hidden="false" outlineLevel="0" max="19" min="19" style="0" width="13.43"/>
    <col collapsed="false" customWidth="true" hidden="false" outlineLevel="0" max="20" min="20" style="0" width="15.42"/>
    <col collapsed="false" customWidth="true" hidden="false" outlineLevel="0" max="21" min="21" style="0" width="13.43"/>
    <col collapsed="false" customWidth="true" hidden="false" outlineLevel="0" max="22" min="22" style="0" width="15.42"/>
    <col collapsed="false" customWidth="true" hidden="false" outlineLevel="0" max="23" min="23" style="0" width="15.71"/>
    <col collapsed="false" customWidth="true" hidden="false" outlineLevel="0" max="24" min="24" style="0" width="14.57"/>
    <col collapsed="false" customWidth="true" hidden="false" outlineLevel="0" max="25" min="25" style="0" width="9.13"/>
    <col collapsed="false" customWidth="true" hidden="false" outlineLevel="0" max="26" min="26" style="0" width="15.57"/>
  </cols>
  <sheetData>
    <row r="1" customFormat="false" ht="15" hidden="false" customHeight="true" outlineLevel="0" collapsed="false">
      <c r="A1" s="74" t="s">
        <v>160</v>
      </c>
      <c r="B1" s="74"/>
      <c r="C1" s="74"/>
      <c r="D1" s="74"/>
      <c r="E1" s="123" t="s">
        <v>29</v>
      </c>
      <c r="F1" s="123"/>
      <c r="G1" s="123"/>
      <c r="H1" s="123"/>
      <c r="I1" s="123"/>
      <c r="J1" s="123"/>
      <c r="K1" s="123"/>
      <c r="L1" s="123"/>
      <c r="M1" s="123"/>
      <c r="N1" s="123"/>
      <c r="O1" s="36" t="s">
        <v>30</v>
      </c>
      <c r="P1" s="36"/>
      <c r="Q1" s="36"/>
      <c r="R1" s="36"/>
      <c r="S1" s="36"/>
      <c r="T1" s="36"/>
      <c r="U1" s="36"/>
      <c r="V1" s="36"/>
      <c r="W1" s="36"/>
      <c r="X1" s="36"/>
      <c r="Y1" s="37" t="s">
        <v>31</v>
      </c>
      <c r="Z1" s="37"/>
    </row>
    <row r="2" customFormat="false" ht="15" hidden="false" customHeight="false" outlineLevel="0" collapsed="false">
      <c r="A2" s="74"/>
      <c r="B2" s="74"/>
      <c r="C2" s="74"/>
      <c r="D2" s="74"/>
      <c r="E2" s="41"/>
      <c r="F2" s="42"/>
      <c r="G2" s="42"/>
      <c r="H2" s="42"/>
      <c r="I2" s="42"/>
      <c r="J2" s="42"/>
      <c r="K2" s="42"/>
      <c r="L2" s="42"/>
      <c r="M2" s="42"/>
      <c r="N2" s="124"/>
      <c r="O2" s="43" t="n">
        <f aca="false">MROUND(SUM(O4:O10),1)</f>
        <v>861</v>
      </c>
      <c r="P2" s="43" t="n">
        <f aca="false">MROUND(SUM(P4:P10),1)</f>
        <v>992</v>
      </c>
      <c r="Q2" s="43" t="n">
        <f aca="false">MROUND(SUM(Q4:Q10),1)</f>
        <v>861</v>
      </c>
      <c r="R2" s="43" t="n">
        <f aca="false">MROUND(SUM(R4:R10),1)</f>
        <v>1009</v>
      </c>
      <c r="S2" s="43" t="n">
        <f aca="false">MROUND(SUM(S4:S10),1)</f>
        <v>895</v>
      </c>
      <c r="T2" s="43" t="n">
        <f aca="false">MROUND(SUM(T4:T10),1)</f>
        <v>1697</v>
      </c>
      <c r="U2" s="43" t="n">
        <f aca="false">MROUND(SUM(U4:U10),1)</f>
        <v>861</v>
      </c>
      <c r="V2" s="43" t="n">
        <f aca="false">MROUND(SUM(V4:V10),1)</f>
        <v>1009</v>
      </c>
      <c r="W2" s="43" t="n">
        <f aca="false">MROUND(SUM(W4:W10),1)</f>
        <v>861</v>
      </c>
      <c r="X2" s="43" t="n">
        <f aca="false">MROUND(SUM(X4:X10),1)</f>
        <v>1026</v>
      </c>
      <c r="Y2" s="44" t="n">
        <f aca="false">SUM(O2:X2)</f>
        <v>10072</v>
      </c>
      <c r="Z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n">
        <v>10000</v>
      </c>
      <c r="P3" s="48" t="n">
        <v>20000</v>
      </c>
      <c r="Q3" s="48" t="n">
        <v>30000</v>
      </c>
      <c r="R3" s="48" t="n">
        <v>40000</v>
      </c>
      <c r="S3" s="48" t="n">
        <v>50000</v>
      </c>
      <c r="T3" s="48" t="n">
        <v>60000</v>
      </c>
      <c r="U3" s="48" t="n">
        <v>70000</v>
      </c>
      <c r="V3" s="48" t="n">
        <v>80000</v>
      </c>
      <c r="W3" s="48" t="n">
        <v>90000</v>
      </c>
      <c r="X3" s="48" t="n">
        <v>100000</v>
      </c>
      <c r="Y3" s="51" t="n">
        <f aca="false">SUM(Y4:Y10)</f>
        <v>0.99984610802224</v>
      </c>
      <c r="Z3" s="45" t="s">
        <v>47</v>
      </c>
    </row>
    <row r="4" customFormat="false" ht="15" hidden="false" customHeight="false" outlineLevel="0" collapsed="false">
      <c r="A4" s="52" t="n">
        <v>1</v>
      </c>
      <c r="B4" s="53" t="s">
        <v>48</v>
      </c>
      <c r="C4" s="54" t="s">
        <v>123</v>
      </c>
      <c r="D4" s="55" t="n">
        <f aca="false">VLOOKUP(C4,'[1]PREÇO ATUAL'!$A$1:$D$1048576,4,0)</f>
        <v>112.46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96" t="n">
        <v>1</v>
      </c>
      <c r="O4" s="58" t="n">
        <f aca="false">$D4*E4</f>
        <v>112.46</v>
      </c>
      <c r="P4" s="58" t="n">
        <f aca="false">$D4*F4</f>
        <v>112.46</v>
      </c>
      <c r="Q4" s="58" t="n">
        <f aca="false">$D4*G4</f>
        <v>112.46</v>
      </c>
      <c r="R4" s="58" t="n">
        <f aca="false">$D4*H4</f>
        <v>112.46</v>
      </c>
      <c r="S4" s="58" t="n">
        <f aca="false">$D4*I4</f>
        <v>112.46</v>
      </c>
      <c r="T4" s="58" t="n">
        <f aca="false">$D4*J4</f>
        <v>112.46</v>
      </c>
      <c r="U4" s="58" t="n">
        <f aca="false">$D4*K4</f>
        <v>112.46</v>
      </c>
      <c r="V4" s="58" t="n">
        <f aca="false">$D4*L4</f>
        <v>112.46</v>
      </c>
      <c r="W4" s="58" t="n">
        <f aca="false">$D4*M4</f>
        <v>112.46</v>
      </c>
      <c r="X4" s="91" t="n">
        <f aca="false">$D4*N4</f>
        <v>112.46</v>
      </c>
      <c r="Y4" s="94" t="n">
        <f aca="false">Z4/$Y$2</f>
        <v>0.111656076250993</v>
      </c>
      <c r="Z4" s="58" t="n">
        <f aca="false">SUM(O4:X4)</f>
        <v>1124.6</v>
      </c>
    </row>
    <row r="5" customFormat="false" ht="15" hidden="false" customHeight="false" outlineLevel="0" collapsed="false">
      <c r="A5" s="60" t="n">
        <v>2</v>
      </c>
      <c r="B5" s="61" t="s">
        <v>50</v>
      </c>
      <c r="C5" s="62" t="s">
        <v>124</v>
      </c>
      <c r="D5" s="63" t="n">
        <f aca="false">VLOOKUP(C5,'[1]PREÇO ATUAL'!$A$1:$D$1048576,4,0)</f>
        <v>35.9</v>
      </c>
      <c r="E5" s="64" t="n">
        <v>1</v>
      </c>
      <c r="F5" s="64" t="n">
        <v>1</v>
      </c>
      <c r="G5" s="64" t="n">
        <v>1</v>
      </c>
      <c r="H5" s="64" t="n">
        <v>1</v>
      </c>
      <c r="I5" s="65" t="n">
        <v>1</v>
      </c>
      <c r="J5" s="65" t="n">
        <v>1</v>
      </c>
      <c r="K5" s="65" t="n">
        <v>1</v>
      </c>
      <c r="L5" s="65" t="n">
        <v>1</v>
      </c>
      <c r="M5" s="65" t="n">
        <v>1</v>
      </c>
      <c r="N5" s="97" t="n">
        <v>1</v>
      </c>
      <c r="O5" s="66" t="n">
        <f aca="false">$D5*E5</f>
        <v>35.9</v>
      </c>
      <c r="P5" s="66" t="n">
        <f aca="false">$D5*F5</f>
        <v>35.9</v>
      </c>
      <c r="Q5" s="66" t="n">
        <f aca="false">$D5*G5</f>
        <v>35.9</v>
      </c>
      <c r="R5" s="66" t="n">
        <f aca="false">$D5*H5</f>
        <v>35.9</v>
      </c>
      <c r="S5" s="66" t="n">
        <f aca="false">$D5*I5</f>
        <v>35.9</v>
      </c>
      <c r="T5" s="66" t="n">
        <f aca="false">$D5*J5</f>
        <v>35.9</v>
      </c>
      <c r="U5" s="66" t="n">
        <f aca="false">$D5*K5</f>
        <v>35.9</v>
      </c>
      <c r="V5" s="66" t="n">
        <f aca="false">$D5*L5</f>
        <v>35.9</v>
      </c>
      <c r="W5" s="66" t="n">
        <f aca="false">$D5*M5</f>
        <v>35.9</v>
      </c>
      <c r="X5" s="92" t="n">
        <f aca="false">$D5*N5</f>
        <v>35.9</v>
      </c>
      <c r="Y5" s="95" t="n">
        <f aca="false">Z5/$Y$2</f>
        <v>0.0356433677521843</v>
      </c>
      <c r="Z5" s="66" t="n">
        <f aca="false">SUM(O5:X5)</f>
        <v>359</v>
      </c>
    </row>
    <row r="6" customFormat="false" ht="15" hidden="false" customHeight="false" outlineLevel="0" collapsed="false">
      <c r="A6" s="52" t="n">
        <v>3</v>
      </c>
      <c r="B6" s="53" t="s">
        <v>52</v>
      </c>
      <c r="C6" s="54" t="s">
        <v>161</v>
      </c>
      <c r="D6" s="55" t="n">
        <f aca="false">VLOOKUP(C6,'[1]PREÇO ATUAL'!$A$1:$D$1048576,4,0)</f>
        <v>114.17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96" t="n">
        <v>1</v>
      </c>
      <c r="O6" s="58" t="n">
        <f aca="false">$D6*E6</f>
        <v>0</v>
      </c>
      <c r="P6" s="58" t="n">
        <f aca="false">$D6*F6</f>
        <v>114.17</v>
      </c>
      <c r="Q6" s="58" t="n">
        <f aca="false">$D6*G6</f>
        <v>0</v>
      </c>
      <c r="R6" s="58" t="n">
        <f aca="false">$D6*H6</f>
        <v>114.17</v>
      </c>
      <c r="S6" s="58" t="n">
        <f aca="false">$D6*I6</f>
        <v>0</v>
      </c>
      <c r="T6" s="58" t="n">
        <f aca="false">$D6*J6</f>
        <v>114.17</v>
      </c>
      <c r="U6" s="58" t="n">
        <f aca="false">$D6*K6</f>
        <v>0</v>
      </c>
      <c r="V6" s="58" t="n">
        <f aca="false">$D6*L6</f>
        <v>114.17</v>
      </c>
      <c r="W6" s="58" t="n">
        <f aca="false">$D6*M6</f>
        <v>0</v>
      </c>
      <c r="X6" s="91" t="n">
        <f aca="false">$D6*N6</f>
        <v>114.17</v>
      </c>
      <c r="Y6" s="94" t="n">
        <f aca="false">Z6/$Y$2</f>
        <v>0.0566769261318507</v>
      </c>
      <c r="Z6" s="58" t="n">
        <f aca="false">SUM(O6:X6)</f>
        <v>570.85</v>
      </c>
    </row>
    <row r="7" customFormat="false" ht="15" hidden="false" customHeight="false" outlineLevel="0" collapsed="false">
      <c r="A7" s="60" t="n">
        <v>4</v>
      </c>
      <c r="B7" s="61" t="s">
        <v>54</v>
      </c>
      <c r="C7" s="62" t="s">
        <v>126</v>
      </c>
      <c r="D7" s="63" t="n">
        <f aca="false">VLOOKUP(C7,'[1]PREÇO ATUAL'!$A$1:$D$1048576,4,0)</f>
        <v>155.01</v>
      </c>
      <c r="E7" s="64"/>
      <c r="F7" s="64"/>
      <c r="G7" s="64"/>
      <c r="H7" s="64"/>
      <c r="I7" s="65"/>
      <c r="J7" s="65" t="n">
        <v>4</v>
      </c>
      <c r="K7" s="65"/>
      <c r="L7" s="65"/>
      <c r="M7" s="65"/>
      <c r="N7" s="97"/>
      <c r="O7" s="66" t="n">
        <f aca="false">$D7*E7</f>
        <v>0</v>
      </c>
      <c r="P7" s="66" t="n">
        <f aca="false">$D7*F7</f>
        <v>0</v>
      </c>
      <c r="Q7" s="66" t="n">
        <f aca="false">$D7*G7</f>
        <v>0</v>
      </c>
      <c r="R7" s="66" t="n">
        <f aca="false">$D7*H7</f>
        <v>0</v>
      </c>
      <c r="S7" s="66" t="n">
        <f aca="false">$D7*I7</f>
        <v>0</v>
      </c>
      <c r="T7" s="66" t="n">
        <f aca="false">$D7*J7</f>
        <v>620.04</v>
      </c>
      <c r="U7" s="66" t="n">
        <f aca="false">$D7*K7</f>
        <v>0</v>
      </c>
      <c r="V7" s="66" t="n">
        <f aca="false">$D7*L7</f>
        <v>0</v>
      </c>
      <c r="W7" s="66" t="n">
        <f aca="false">$D7*M7</f>
        <v>0</v>
      </c>
      <c r="X7" s="92" t="n">
        <f aca="false">$D7*N7</f>
        <v>0</v>
      </c>
      <c r="Y7" s="95" t="n">
        <f aca="false">Z7/$Y$2</f>
        <v>0.0615607625099285</v>
      </c>
      <c r="Z7" s="66" t="n">
        <f aca="false">SUM(O7:X7)</f>
        <v>620.04</v>
      </c>
    </row>
    <row r="8" customFormat="false" ht="15.75" hidden="false" customHeight="true" outlineLevel="0" collapsed="false">
      <c r="A8" s="125" t="n">
        <v>5</v>
      </c>
      <c r="B8" s="126" t="s">
        <v>60</v>
      </c>
      <c r="C8" s="127" t="s">
        <v>61</v>
      </c>
      <c r="D8" s="128" t="n">
        <f aca="false">VLOOKUP(C8,'[1]PREÇO ATUAL'!$A$1:$D$1048576,4,0)</f>
        <v>33.6224930838505</v>
      </c>
      <c r="E8" s="129"/>
      <c r="F8" s="129"/>
      <c r="G8" s="129"/>
      <c r="H8" s="130"/>
      <c r="I8" s="131"/>
      <c r="J8" s="131"/>
      <c r="K8" s="131"/>
      <c r="L8" s="132"/>
      <c r="M8" s="131"/>
      <c r="N8" s="133"/>
      <c r="O8" s="134" t="n">
        <v>0</v>
      </c>
      <c r="P8" s="134" t="n">
        <f aca="false">$D8*F8</f>
        <v>0</v>
      </c>
      <c r="Q8" s="134" t="n">
        <f aca="false">$D8*G8</f>
        <v>0</v>
      </c>
      <c r="R8" s="134" t="n">
        <f aca="false">$D8*H8</f>
        <v>0</v>
      </c>
      <c r="S8" s="134" t="n">
        <f aca="false">$D8*I8</f>
        <v>0</v>
      </c>
      <c r="T8" s="134" t="n">
        <f aca="false">$D8*J8</f>
        <v>0</v>
      </c>
      <c r="U8" s="134" t="n">
        <f aca="false">$D8*K8</f>
        <v>0</v>
      </c>
      <c r="V8" s="134" t="n">
        <f aca="false">$D8*L8</f>
        <v>0</v>
      </c>
      <c r="W8" s="134" t="n">
        <f aca="false">$D8*M8</f>
        <v>0</v>
      </c>
      <c r="X8" s="135" t="n">
        <f aca="false">$D8*N8</f>
        <v>0</v>
      </c>
      <c r="Y8" s="136" t="n">
        <f aca="false">Z8/$Y$2</f>
        <v>0</v>
      </c>
      <c r="Z8" s="134" t="n">
        <f aca="false">SUM(O8:X8)</f>
        <v>0</v>
      </c>
    </row>
    <row r="9" customFormat="false" ht="15.75" hidden="false" customHeight="true" outlineLevel="0" collapsed="false">
      <c r="A9" s="137" t="n">
        <v>6</v>
      </c>
      <c r="B9" s="138" t="s">
        <v>127</v>
      </c>
      <c r="C9" s="139" t="s">
        <v>128</v>
      </c>
      <c r="D9" s="140" t="n">
        <f aca="false">VLOOKUP(C9,'[1]PREÇO ATUAL'!$A$1:$D$1048576,4,0)</f>
        <v>87.82</v>
      </c>
      <c r="E9" s="141" t="n">
        <v>4.8</v>
      </c>
      <c r="F9" s="141" t="n">
        <v>4.8</v>
      </c>
      <c r="G9" s="141" t="n">
        <v>4.8</v>
      </c>
      <c r="H9" s="141" t="n">
        <v>4.8</v>
      </c>
      <c r="I9" s="141" t="n">
        <v>4.8</v>
      </c>
      <c r="J9" s="141" t="n">
        <v>4.8</v>
      </c>
      <c r="K9" s="141" t="n">
        <v>4.8</v>
      </c>
      <c r="L9" s="141" t="n">
        <v>4.8</v>
      </c>
      <c r="M9" s="141" t="n">
        <v>4.8</v>
      </c>
      <c r="N9" s="141" t="n">
        <v>4.8</v>
      </c>
      <c r="O9" s="142" t="n">
        <f aca="false">$D$9*E9</f>
        <v>421.536</v>
      </c>
      <c r="P9" s="142" t="n">
        <f aca="false">$D$9*F9</f>
        <v>421.536</v>
      </c>
      <c r="Q9" s="142" t="n">
        <f aca="false">$D$9*G9</f>
        <v>421.536</v>
      </c>
      <c r="R9" s="142" t="n">
        <f aca="false">$D$9*H9</f>
        <v>421.536</v>
      </c>
      <c r="S9" s="142" t="n">
        <f aca="false">$D$9*I9</f>
        <v>421.536</v>
      </c>
      <c r="T9" s="142" t="n">
        <f aca="false">$D$9*J9</f>
        <v>421.536</v>
      </c>
      <c r="U9" s="142" t="n">
        <f aca="false">$D$9*K9</f>
        <v>421.536</v>
      </c>
      <c r="V9" s="142" t="n">
        <f aca="false">$D$9*L9</f>
        <v>421.536</v>
      </c>
      <c r="W9" s="142" t="n">
        <f aca="false">$D$9*M9</f>
        <v>421.536</v>
      </c>
      <c r="X9" s="143" t="n">
        <f aca="false">$D$9*N9</f>
        <v>421.536</v>
      </c>
      <c r="Y9" s="144" t="n">
        <f aca="false">Z9/$Y$2</f>
        <v>0.418522637013503</v>
      </c>
      <c r="Z9" s="142" t="n">
        <f aca="false">SUM(O9:X9)</f>
        <v>4215.36</v>
      </c>
    </row>
    <row r="10" customFormat="false" ht="15.75" hidden="false" customHeight="true" outlineLevel="0" collapsed="false">
      <c r="A10" s="125" t="n">
        <v>7</v>
      </c>
      <c r="B10" s="126" t="s">
        <v>64</v>
      </c>
      <c r="C10" s="127" t="s">
        <v>65</v>
      </c>
      <c r="D10" s="128" t="n">
        <f aca="false">VLOOKUP(C10,'[1]PREÇO ATUAL'!$A$1:$D$1048576,4,0)</f>
        <v>342</v>
      </c>
      <c r="E10" s="129" t="n">
        <v>0.85</v>
      </c>
      <c r="F10" s="129" t="n">
        <v>0.9</v>
      </c>
      <c r="G10" s="129" t="n">
        <v>0.85</v>
      </c>
      <c r="H10" s="129" t="n">
        <v>0.95</v>
      </c>
      <c r="I10" s="131" t="n">
        <v>0.95</v>
      </c>
      <c r="J10" s="131" t="n">
        <v>1.15</v>
      </c>
      <c r="K10" s="131" t="n">
        <v>0.85</v>
      </c>
      <c r="L10" s="131" t="n">
        <v>0.95</v>
      </c>
      <c r="M10" s="131" t="n">
        <v>0.85</v>
      </c>
      <c r="N10" s="133" t="n">
        <v>1</v>
      </c>
      <c r="O10" s="134" t="n">
        <f aca="false">D10*E10</f>
        <v>290.7</v>
      </c>
      <c r="P10" s="134" t="n">
        <f aca="false">$D$10*F10</f>
        <v>307.8</v>
      </c>
      <c r="Q10" s="134" t="n">
        <f aca="false">$D$10*G10</f>
        <v>290.7</v>
      </c>
      <c r="R10" s="134" t="n">
        <f aca="false">$D$10*H10</f>
        <v>324.9</v>
      </c>
      <c r="S10" s="134" t="n">
        <f aca="false">$D$10*I10</f>
        <v>324.9</v>
      </c>
      <c r="T10" s="134" t="n">
        <f aca="false">$D$10*J10</f>
        <v>393.3</v>
      </c>
      <c r="U10" s="134" t="n">
        <f aca="false">$D$10*K10</f>
        <v>290.7</v>
      </c>
      <c r="V10" s="134" t="n">
        <f aca="false">$D$10*L10</f>
        <v>324.9</v>
      </c>
      <c r="W10" s="134" t="n">
        <f aca="false">$D$10*M10</f>
        <v>290.7</v>
      </c>
      <c r="X10" s="135" t="n">
        <f aca="false">$D$10*N10</f>
        <v>342</v>
      </c>
      <c r="Y10" s="136" t="n">
        <f aca="false">Z10/$Y$2</f>
        <v>0.315786338363781</v>
      </c>
      <c r="Z10" s="134" t="n">
        <f aca="false">SUM(O10:X10)</f>
        <v>3180.6</v>
      </c>
    </row>
    <row r="11" customFormat="false" ht="15.75" hidden="false" customHeight="true" outlineLevel="0" collapsed="false">
      <c r="H11" s="93"/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</sheetData>
  <mergeCells count="5">
    <mergeCell ref="A1:D2"/>
    <mergeCell ref="E1:N1"/>
    <mergeCell ref="O1:X1"/>
    <mergeCell ref="Y1:Z1"/>
    <mergeCell ref="Y2:Z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6CFC24"/>
    <pageSetUpPr fitToPage="false"/>
  </sheetPr>
  <dimension ref="A1:AJ9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A1" activeCellId="0" sqref="A1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52.42"/>
    <col collapsed="false" customWidth="true" hidden="false" outlineLevel="0" max="3" min="3" style="0" width="16.87"/>
    <col collapsed="false" customWidth="true" hidden="false" outlineLevel="0" max="4" min="4" style="0" width="8.71"/>
    <col collapsed="false" customWidth="true" hidden="false" outlineLevel="0" max="19" min="5" style="0" width="5.14"/>
    <col collapsed="false" customWidth="true" hidden="false" outlineLevel="0" max="20" min="20" style="0" width="14.15"/>
    <col collapsed="false" customWidth="true" hidden="false" outlineLevel="0" max="22" min="21" style="0" width="13.43"/>
    <col collapsed="false" customWidth="true" hidden="false" outlineLevel="0" max="23" min="23" style="0" width="15.42"/>
    <col collapsed="false" customWidth="true" hidden="false" outlineLevel="0" max="24" min="24" style="0" width="13.43"/>
    <col collapsed="false" customWidth="true" hidden="false" outlineLevel="0" max="25" min="25" style="0" width="15.42"/>
    <col collapsed="false" customWidth="true" hidden="false" outlineLevel="0" max="26" min="26" style="0" width="13.43"/>
    <col collapsed="false" customWidth="true" hidden="false" outlineLevel="0" max="27" min="27" style="0" width="15.42"/>
    <col collapsed="false" customWidth="true" hidden="false" outlineLevel="0" max="28" min="28" style="0" width="15.71"/>
    <col collapsed="false" customWidth="true" hidden="false" outlineLevel="0" max="29" min="29" style="0" width="14.57"/>
    <col collapsed="false" customWidth="true" hidden="false" outlineLevel="0" max="30" min="30" style="0" width="13.7"/>
    <col collapsed="false" customWidth="true" hidden="false" outlineLevel="0" max="31" min="31" style="0" width="15.71"/>
    <col collapsed="false" customWidth="true" hidden="false" outlineLevel="0" max="34" min="32" style="0" width="14.57"/>
    <col collapsed="false" customWidth="true" hidden="false" outlineLevel="0" max="35" min="35" style="0" width="9.13"/>
    <col collapsed="false" customWidth="true" hidden="false" outlineLevel="0" max="36" min="36" style="0" width="15.57"/>
  </cols>
  <sheetData>
    <row r="1" customFormat="false" ht="15.75" hidden="false" customHeight="true" outlineLevel="0" collapsed="false">
      <c r="A1" s="89" t="s">
        <v>162</v>
      </c>
      <c r="B1" s="89"/>
      <c r="C1" s="89"/>
      <c r="D1" s="89"/>
      <c r="E1" s="35" t="s">
        <v>29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6" t="s">
        <v>30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 t="s">
        <v>31</v>
      </c>
      <c r="AJ1" s="37"/>
    </row>
    <row r="2" customFormat="false" ht="15" hidden="false" customHeight="true" outlineLevel="0" collapsed="false">
      <c r="A2" s="89"/>
      <c r="B2" s="89"/>
      <c r="C2" s="89"/>
      <c r="D2" s="89"/>
      <c r="E2" s="41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3" t="n">
        <f aca="false">MROUND(SUM(T4:T11),1)</f>
        <v>755</v>
      </c>
      <c r="U2" s="43" t="n">
        <f aca="false">MROUND(SUM(U4:U11),1)</f>
        <v>772</v>
      </c>
      <c r="V2" s="43" t="n">
        <f aca="false">MROUND(SUM(V4:V11),1)</f>
        <v>935</v>
      </c>
      <c r="W2" s="43" t="n">
        <f aca="false">MROUND(SUM(W4:W11),1)</f>
        <v>772</v>
      </c>
      <c r="X2" s="43" t="n">
        <f aca="false">MROUND(SUM(X4:X11),1)</f>
        <v>789</v>
      </c>
      <c r="Y2" s="43" t="n">
        <f aca="false">MROUND(SUM(Y4:Y11),1)</f>
        <v>1469</v>
      </c>
      <c r="Z2" s="43" t="n">
        <f aca="false">MROUND(SUM(Z4:Z11),1)</f>
        <v>755</v>
      </c>
      <c r="AA2" s="43" t="n">
        <f aca="false">MROUND(SUM(AA4:AA11),1)</f>
        <v>772</v>
      </c>
      <c r="AB2" s="43" t="n">
        <f aca="false">MROUND(SUM(AB4:AB11),1)</f>
        <v>935</v>
      </c>
      <c r="AC2" s="43" t="n">
        <f aca="false">MROUND(SUM(AC4:AC11),1)</f>
        <v>807</v>
      </c>
      <c r="AD2" s="43" t="n">
        <f aca="false">MROUND(SUM(AD4:AD11),1)</f>
        <v>755</v>
      </c>
      <c r="AE2" s="43" t="n">
        <f aca="false">MROUND(SUM(AE4:AE11),1)</f>
        <v>1718</v>
      </c>
      <c r="AF2" s="43" t="n">
        <f aca="false">MROUND(SUM(AF4:AF11),1)</f>
        <v>755</v>
      </c>
      <c r="AG2" s="43" t="n">
        <f aca="false">MROUND(SUM(AG4:AG11),1)</f>
        <v>772</v>
      </c>
      <c r="AH2" s="43" t="n">
        <f aca="false">MROUND(SUM(AH4:AH11),1)</f>
        <v>970</v>
      </c>
      <c r="AI2" s="44" t="n">
        <f aca="false">SUM(T2:AG2)</f>
        <v>12761</v>
      </c>
      <c r="AJ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s">
        <v>142</v>
      </c>
      <c r="P3" s="48" t="s">
        <v>143</v>
      </c>
      <c r="Q3" s="48" t="s">
        <v>144</v>
      </c>
      <c r="R3" s="48" t="s">
        <v>145</v>
      </c>
      <c r="S3" s="48" t="s">
        <v>146</v>
      </c>
      <c r="T3" s="48" t="n">
        <v>10000</v>
      </c>
      <c r="U3" s="48" t="n">
        <v>20000</v>
      </c>
      <c r="V3" s="48" t="n">
        <v>30000</v>
      </c>
      <c r="W3" s="48" t="n">
        <v>40000</v>
      </c>
      <c r="X3" s="48" t="n">
        <v>50000</v>
      </c>
      <c r="Y3" s="48" t="n">
        <v>60000</v>
      </c>
      <c r="Z3" s="48" t="n">
        <v>70000</v>
      </c>
      <c r="AA3" s="48" t="n">
        <v>80000</v>
      </c>
      <c r="AB3" s="48" t="n">
        <v>90000</v>
      </c>
      <c r="AC3" s="48" t="n">
        <v>100000</v>
      </c>
      <c r="AD3" s="48" t="n">
        <f aca="false">AC3+10000</f>
        <v>110000</v>
      </c>
      <c r="AE3" s="48" t="n">
        <f aca="false">AD3+10000</f>
        <v>120000</v>
      </c>
      <c r="AF3" s="48" t="n">
        <f aca="false">AE3+10000</f>
        <v>130000</v>
      </c>
      <c r="AG3" s="48" t="n">
        <f aca="false">AF3+10000</f>
        <v>140000</v>
      </c>
      <c r="AH3" s="48" t="n">
        <f aca="false">AG3+10000</f>
        <v>150000</v>
      </c>
      <c r="AI3" s="51" t="n">
        <f aca="false">SUM(AI4:AI11)</f>
        <v>1.00022082908863</v>
      </c>
      <c r="AJ3" s="45" t="s">
        <v>47</v>
      </c>
    </row>
    <row r="4" customFormat="false" ht="15" hidden="false" customHeight="false" outlineLevel="0" collapsed="false">
      <c r="A4" s="52" t="n">
        <v>1</v>
      </c>
      <c r="B4" s="53" t="s">
        <v>48</v>
      </c>
      <c r="C4" s="54" t="s">
        <v>123</v>
      </c>
      <c r="D4" s="55" t="n">
        <f aca="false">VLOOKUP(C4,'[1]PREÇO ATUAL'!$A$1:$D$1048576,4,0)</f>
        <v>112.46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6" t="n">
        <v>1</v>
      </c>
      <c r="O4" s="57" t="n">
        <v>1</v>
      </c>
      <c r="P4" s="56" t="n">
        <v>1</v>
      </c>
      <c r="Q4" s="57" t="n">
        <v>1</v>
      </c>
      <c r="R4" s="56" t="n">
        <v>1</v>
      </c>
      <c r="S4" s="56" t="n">
        <v>1</v>
      </c>
      <c r="T4" s="58" t="n">
        <f aca="false">$D4*E4</f>
        <v>112.46</v>
      </c>
      <c r="U4" s="58" t="n">
        <f aca="false">$D4*F4</f>
        <v>112.46</v>
      </c>
      <c r="V4" s="58" t="n">
        <f aca="false">$D4*G4</f>
        <v>112.46</v>
      </c>
      <c r="W4" s="58" t="n">
        <f aca="false">$D4*H4</f>
        <v>112.46</v>
      </c>
      <c r="X4" s="58" t="n">
        <f aca="false">$D4*I4</f>
        <v>112.46</v>
      </c>
      <c r="Y4" s="58" t="n">
        <f aca="false">$D4*J4</f>
        <v>112.46</v>
      </c>
      <c r="Z4" s="58" t="n">
        <f aca="false">$D4*K4</f>
        <v>112.46</v>
      </c>
      <c r="AA4" s="58" t="n">
        <f aca="false">$D4*L4</f>
        <v>112.46</v>
      </c>
      <c r="AB4" s="58" t="n">
        <f aca="false">$D4*M4</f>
        <v>112.46</v>
      </c>
      <c r="AC4" s="58" t="n">
        <f aca="false">$D4*N4</f>
        <v>112.46</v>
      </c>
      <c r="AD4" s="58" t="n">
        <f aca="false">$D4*O4</f>
        <v>112.46</v>
      </c>
      <c r="AE4" s="58" t="n">
        <f aca="false">$D4*P4</f>
        <v>112.46</v>
      </c>
      <c r="AF4" s="58" t="n">
        <f aca="false">$D4*Q4</f>
        <v>112.46</v>
      </c>
      <c r="AG4" s="91" t="n">
        <f aca="false">$D4*R4</f>
        <v>112.46</v>
      </c>
      <c r="AH4" s="91" t="n">
        <f aca="false">$D4*S4</f>
        <v>112.46</v>
      </c>
      <c r="AI4" s="94" t="n">
        <f aca="false">AJ4/$AI$2</f>
        <v>0.123379045529347</v>
      </c>
      <c r="AJ4" s="58" t="n">
        <f aca="false">SUM(T4:AG4)</f>
        <v>1574.44</v>
      </c>
    </row>
    <row r="5" customFormat="false" ht="15" hidden="false" customHeight="false" outlineLevel="0" collapsed="false">
      <c r="A5" s="60" t="n">
        <v>2</v>
      </c>
      <c r="B5" s="61" t="s">
        <v>50</v>
      </c>
      <c r="C5" s="62" t="s">
        <v>124</v>
      </c>
      <c r="D5" s="63" t="n">
        <f aca="false">VLOOKUP(C5,'[1]PREÇO ATUAL'!$A$1:$D$1048576,4,0)</f>
        <v>35.9</v>
      </c>
      <c r="E5" s="64" t="n">
        <v>1</v>
      </c>
      <c r="F5" s="64" t="n">
        <v>1</v>
      </c>
      <c r="G5" s="64" t="n">
        <v>1</v>
      </c>
      <c r="H5" s="64" t="n">
        <v>1</v>
      </c>
      <c r="I5" s="65" t="n">
        <v>1</v>
      </c>
      <c r="J5" s="65" t="n">
        <v>1</v>
      </c>
      <c r="K5" s="65" t="n">
        <v>1</v>
      </c>
      <c r="L5" s="65" t="n">
        <v>1</v>
      </c>
      <c r="M5" s="65" t="n">
        <v>1</v>
      </c>
      <c r="N5" s="64" t="n">
        <v>1</v>
      </c>
      <c r="O5" s="65" t="n">
        <v>1</v>
      </c>
      <c r="P5" s="64" t="n">
        <v>1</v>
      </c>
      <c r="Q5" s="65" t="n">
        <v>1</v>
      </c>
      <c r="R5" s="64" t="n">
        <v>1</v>
      </c>
      <c r="S5" s="64" t="n">
        <v>1</v>
      </c>
      <c r="T5" s="66" t="n">
        <f aca="false">$D5*E5</f>
        <v>35.9</v>
      </c>
      <c r="U5" s="66" t="n">
        <f aca="false">$D5*F5</f>
        <v>35.9</v>
      </c>
      <c r="V5" s="66" t="n">
        <f aca="false">$D5*G5</f>
        <v>35.9</v>
      </c>
      <c r="W5" s="66" t="n">
        <f aca="false">$D5*H5</f>
        <v>35.9</v>
      </c>
      <c r="X5" s="66" t="n">
        <f aca="false">$D5*I5</f>
        <v>35.9</v>
      </c>
      <c r="Y5" s="66" t="n">
        <f aca="false">$D5*J5</f>
        <v>35.9</v>
      </c>
      <c r="Z5" s="66" t="n">
        <f aca="false">$D5*K5</f>
        <v>35.9</v>
      </c>
      <c r="AA5" s="66" t="n">
        <f aca="false">$D5*L5</f>
        <v>35.9</v>
      </c>
      <c r="AB5" s="66" t="n">
        <f aca="false">$D5*M5</f>
        <v>35.9</v>
      </c>
      <c r="AC5" s="66" t="n">
        <f aca="false">$D5*N5</f>
        <v>35.9</v>
      </c>
      <c r="AD5" s="66" t="n">
        <f aca="false">$D5*O5</f>
        <v>35.9</v>
      </c>
      <c r="AE5" s="66" t="n">
        <f aca="false">$D5*P5</f>
        <v>35.9</v>
      </c>
      <c r="AF5" s="66" t="n">
        <f aca="false">$D5*Q5</f>
        <v>35.9</v>
      </c>
      <c r="AG5" s="92" t="n">
        <f aca="false">$D5*R5</f>
        <v>35.9</v>
      </c>
      <c r="AH5" s="92" t="n">
        <f aca="false">$D5*S5</f>
        <v>35.9</v>
      </c>
      <c r="AI5" s="95" t="n">
        <f aca="false">AJ5/$AI$2</f>
        <v>0.0393856280855732</v>
      </c>
      <c r="AJ5" s="66" t="n">
        <f aca="false">SUM(T5:AG5)</f>
        <v>502.6</v>
      </c>
    </row>
    <row r="6" customFormat="false" ht="15" hidden="false" customHeight="false" outlineLevel="0" collapsed="false">
      <c r="A6" s="52" t="n">
        <v>3</v>
      </c>
      <c r="B6" s="53" t="s">
        <v>52</v>
      </c>
      <c r="C6" s="54" t="s">
        <v>125</v>
      </c>
      <c r="D6" s="55" t="n">
        <f aca="false">VLOOKUP(C6,'[1]PREÇO ATUAL'!$A$1:$D$1048576,4,0)</f>
        <v>180.21</v>
      </c>
      <c r="E6" s="56"/>
      <c r="F6" s="56"/>
      <c r="G6" s="56" t="n">
        <v>1</v>
      </c>
      <c r="H6" s="56"/>
      <c r="I6" s="57"/>
      <c r="J6" s="57" t="n">
        <v>1</v>
      </c>
      <c r="K6" s="57"/>
      <c r="L6" s="57"/>
      <c r="M6" s="57" t="n">
        <v>1</v>
      </c>
      <c r="N6" s="56"/>
      <c r="O6" s="57"/>
      <c r="P6" s="56" t="n">
        <v>1</v>
      </c>
      <c r="Q6" s="57"/>
      <c r="R6" s="56"/>
      <c r="S6" s="57" t="n">
        <v>1</v>
      </c>
      <c r="T6" s="58" t="n">
        <f aca="false">$D6*E6</f>
        <v>0</v>
      </c>
      <c r="U6" s="58" t="n">
        <f aca="false">$D6*F6</f>
        <v>0</v>
      </c>
      <c r="V6" s="58" t="n">
        <f aca="false">$D6*G6</f>
        <v>180.21</v>
      </c>
      <c r="W6" s="58" t="n">
        <f aca="false">$D6*H6</f>
        <v>0</v>
      </c>
      <c r="X6" s="58" t="n">
        <f aca="false">$D6*I6</f>
        <v>0</v>
      </c>
      <c r="Y6" s="58" t="n">
        <f aca="false">$D6*J6</f>
        <v>180.21</v>
      </c>
      <c r="Z6" s="58" t="n">
        <f aca="false">$D6*K6</f>
        <v>0</v>
      </c>
      <c r="AA6" s="58" t="n">
        <f aca="false">$D6*L6</f>
        <v>0</v>
      </c>
      <c r="AB6" s="58" t="n">
        <f aca="false">$D6*M6</f>
        <v>180.21</v>
      </c>
      <c r="AC6" s="58" t="n">
        <f aca="false">$D6*N6</f>
        <v>0</v>
      </c>
      <c r="AD6" s="58" t="n">
        <f aca="false">$D6*O6</f>
        <v>0</v>
      </c>
      <c r="AE6" s="58" t="n">
        <f aca="false">$D6*P6</f>
        <v>180.21</v>
      </c>
      <c r="AF6" s="58" t="n">
        <f aca="false">$D6*Q6</f>
        <v>0</v>
      </c>
      <c r="AG6" s="91" t="n">
        <f aca="false">$D6*R6</f>
        <v>0</v>
      </c>
      <c r="AH6" s="91" t="n">
        <f aca="false">$D6*S6</f>
        <v>180.21</v>
      </c>
      <c r="AI6" s="94" t="n">
        <f aca="false">AJ6/$AI$2</f>
        <v>0.0564877360708408</v>
      </c>
      <c r="AJ6" s="58" t="n">
        <f aca="false">SUM(T6:AG6)</f>
        <v>720.84</v>
      </c>
    </row>
    <row r="7" customFormat="false" ht="15" hidden="false" customHeight="false" outlineLevel="0" collapsed="false">
      <c r="A7" s="60" t="n">
        <v>4</v>
      </c>
      <c r="B7" s="61" t="s">
        <v>54</v>
      </c>
      <c r="C7" s="62" t="s">
        <v>126</v>
      </c>
      <c r="D7" s="63" t="n">
        <f aca="false">VLOOKUP(C7,'[1]PREÇO ATUAL'!$A$1:$D$1048576,4,0)</f>
        <v>155.01</v>
      </c>
      <c r="E7" s="64"/>
      <c r="F7" s="64"/>
      <c r="G7" s="64"/>
      <c r="H7" s="64"/>
      <c r="I7" s="65"/>
      <c r="J7" s="65" t="n">
        <v>3</v>
      </c>
      <c r="K7" s="65"/>
      <c r="L7" s="65"/>
      <c r="M7" s="65"/>
      <c r="N7" s="64"/>
      <c r="O7" s="79"/>
      <c r="P7" s="65" t="n">
        <v>3</v>
      </c>
      <c r="Q7" s="65"/>
      <c r="R7" s="65"/>
      <c r="S7" s="65"/>
      <c r="T7" s="66" t="n">
        <f aca="false">$D7*E7</f>
        <v>0</v>
      </c>
      <c r="U7" s="66" t="n">
        <f aca="false">$D7*F7</f>
        <v>0</v>
      </c>
      <c r="V7" s="66" t="n">
        <f aca="false">$D7*G7</f>
        <v>0</v>
      </c>
      <c r="W7" s="66" t="n">
        <f aca="false">$D7*H7</f>
        <v>0</v>
      </c>
      <c r="X7" s="66" t="n">
        <f aca="false">$D7*I7</f>
        <v>0</v>
      </c>
      <c r="Y7" s="66" t="n">
        <f aca="false">$D7*J7</f>
        <v>465.03</v>
      </c>
      <c r="Z7" s="66" t="n">
        <f aca="false">$D7*K7</f>
        <v>0</v>
      </c>
      <c r="AA7" s="66" t="n">
        <f aca="false">$D7*L7</f>
        <v>0</v>
      </c>
      <c r="AB7" s="66" t="n">
        <f aca="false">$D7*M7</f>
        <v>0</v>
      </c>
      <c r="AC7" s="66" t="n">
        <f aca="false">$D7*N7</f>
        <v>0</v>
      </c>
      <c r="AD7" s="66" t="n">
        <f aca="false">$D7*O7</f>
        <v>0</v>
      </c>
      <c r="AE7" s="66" t="n">
        <f aca="false">$D7*P7</f>
        <v>465.03</v>
      </c>
      <c r="AF7" s="66" t="n">
        <f aca="false">$D7*Q7</f>
        <v>0</v>
      </c>
      <c r="AG7" s="92" t="n">
        <f aca="false">$D7*R7</f>
        <v>0</v>
      </c>
      <c r="AH7" s="92" t="n">
        <f aca="false">$D7*S7</f>
        <v>0</v>
      </c>
      <c r="AI7" s="95" t="n">
        <f aca="false">AJ7/$AI$2</f>
        <v>0.0728830028994593</v>
      </c>
      <c r="AJ7" s="66" t="n">
        <f aca="false">SUM(T7:AG7)</f>
        <v>930.06</v>
      </c>
    </row>
    <row r="8" customFormat="false" ht="15" hidden="false" customHeight="false" outlineLevel="0" collapsed="false">
      <c r="A8" s="52" t="n">
        <v>5</v>
      </c>
      <c r="B8" s="53" t="s">
        <v>60</v>
      </c>
      <c r="C8" s="54" t="s">
        <v>61</v>
      </c>
      <c r="D8" s="55" t="n">
        <f aca="false">VLOOKUP(C8,'[1]PREÇO ATUAL'!$A$1:$D$1048576,4,0)</f>
        <v>33.6224930838505</v>
      </c>
      <c r="E8" s="56"/>
      <c r="F8" s="56"/>
      <c r="G8" s="56"/>
      <c r="H8" s="56"/>
      <c r="I8" s="57"/>
      <c r="J8" s="57"/>
      <c r="K8" s="57"/>
      <c r="L8" s="57"/>
      <c r="M8" s="57"/>
      <c r="N8" s="56"/>
      <c r="O8" s="80"/>
      <c r="P8" s="57"/>
      <c r="Q8" s="57"/>
      <c r="R8" s="57"/>
      <c r="S8" s="57"/>
      <c r="T8" s="58" t="n">
        <f aca="false">$D8*E8</f>
        <v>0</v>
      </c>
      <c r="U8" s="58" t="n">
        <f aca="false">$D8*F8</f>
        <v>0</v>
      </c>
      <c r="V8" s="58" t="n">
        <f aca="false">$D8*G8</f>
        <v>0</v>
      </c>
      <c r="W8" s="58" t="n">
        <f aca="false">$D8*H8</f>
        <v>0</v>
      </c>
      <c r="X8" s="58" t="n">
        <f aca="false">$D8*I8</f>
        <v>0</v>
      </c>
      <c r="Y8" s="58" t="n">
        <f aca="false">$D8*J8</f>
        <v>0</v>
      </c>
      <c r="Z8" s="58" t="n">
        <f aca="false">$D8*K8</f>
        <v>0</v>
      </c>
      <c r="AA8" s="58" t="n">
        <f aca="false">$D8*L8</f>
        <v>0</v>
      </c>
      <c r="AB8" s="58" t="n">
        <f aca="false">$D8*M8</f>
        <v>0</v>
      </c>
      <c r="AC8" s="58" t="n">
        <f aca="false">$D8*N8</f>
        <v>0</v>
      </c>
      <c r="AD8" s="58" t="n">
        <f aca="false">$D8*O8</f>
        <v>0</v>
      </c>
      <c r="AE8" s="58" t="n">
        <f aca="false">$D8*P8</f>
        <v>0</v>
      </c>
      <c r="AF8" s="58" t="n">
        <f aca="false">$D8*Q8</f>
        <v>0</v>
      </c>
      <c r="AG8" s="91" t="n">
        <f aca="false">$D8*R8</f>
        <v>0</v>
      </c>
      <c r="AH8" s="91" t="n">
        <f aca="false">$D8*S8</f>
        <v>0</v>
      </c>
      <c r="AI8" s="94" t="n">
        <f aca="false">AJ8/$AI$2</f>
        <v>0</v>
      </c>
      <c r="AJ8" s="58" t="n">
        <f aca="false">SUM(T8:AG8)</f>
        <v>0</v>
      </c>
    </row>
    <row r="9" customFormat="false" ht="25.5" hidden="false" customHeight="false" outlineLevel="0" collapsed="false">
      <c r="A9" s="60" t="n">
        <v>6</v>
      </c>
      <c r="B9" s="73" t="s">
        <v>163</v>
      </c>
      <c r="C9" s="62" t="s">
        <v>164</v>
      </c>
      <c r="D9" s="63" t="n">
        <f aca="false">VLOOKUP(C9,'[1]PREÇO ATUAL'!$A$1:$D$1048576,4,0)</f>
        <v>180.85</v>
      </c>
      <c r="E9" s="64"/>
      <c r="F9" s="64"/>
      <c r="G9" s="64"/>
      <c r="H9" s="64"/>
      <c r="I9" s="65"/>
      <c r="J9" s="65"/>
      <c r="K9" s="65"/>
      <c r="L9" s="65"/>
      <c r="M9" s="65"/>
      <c r="N9" s="64"/>
      <c r="O9" s="79"/>
      <c r="P9" s="65" t="n">
        <v>1</v>
      </c>
      <c r="Q9" s="65"/>
      <c r="R9" s="65"/>
      <c r="S9" s="65"/>
      <c r="T9" s="66" t="n">
        <f aca="false">$D9*E9</f>
        <v>0</v>
      </c>
      <c r="U9" s="66" t="n">
        <f aca="false">$D9*F9</f>
        <v>0</v>
      </c>
      <c r="V9" s="66" t="n">
        <f aca="false">$D9*G9</f>
        <v>0</v>
      </c>
      <c r="W9" s="66" t="n">
        <f aca="false">$D9*H9</f>
        <v>0</v>
      </c>
      <c r="X9" s="66" t="n">
        <f aca="false">$D9*I9</f>
        <v>0</v>
      </c>
      <c r="Y9" s="66" t="n">
        <f aca="false">$D9*J9</f>
        <v>0</v>
      </c>
      <c r="Z9" s="66" t="n">
        <f aca="false">$D9*K9</f>
        <v>0</v>
      </c>
      <c r="AA9" s="66" t="n">
        <f aca="false">$D9*L9</f>
        <v>0</v>
      </c>
      <c r="AB9" s="66" t="n">
        <f aca="false">$D9*M9</f>
        <v>0</v>
      </c>
      <c r="AC9" s="66" t="n">
        <f aca="false">$D9*N9</f>
        <v>0</v>
      </c>
      <c r="AD9" s="66" t="n">
        <f aca="false">$D9*O9</f>
        <v>0</v>
      </c>
      <c r="AE9" s="66" t="n">
        <f aca="false">$D9*P9</f>
        <v>180.85</v>
      </c>
      <c r="AF9" s="66" t="n">
        <f aca="false">$D9*Q9</f>
        <v>0</v>
      </c>
      <c r="AG9" s="92" t="n">
        <f aca="false">$D9*R9</f>
        <v>0</v>
      </c>
      <c r="AH9" s="92" t="n">
        <f aca="false">$D9*S9</f>
        <v>0</v>
      </c>
      <c r="AI9" s="95" t="n">
        <f aca="false">AJ9/$AI$2</f>
        <v>0.0141720868270512</v>
      </c>
      <c r="AJ9" s="66" t="n">
        <f aca="false">SUM(T9:AG9)</f>
        <v>180.85</v>
      </c>
    </row>
    <row r="10" customFormat="false" ht="15" hidden="false" customHeight="false" outlineLevel="0" collapsed="false">
      <c r="A10" s="52" t="n">
        <v>7</v>
      </c>
      <c r="B10" s="53" t="s">
        <v>127</v>
      </c>
      <c r="C10" s="54" t="s">
        <v>128</v>
      </c>
      <c r="D10" s="55" t="n">
        <f aca="false">VLOOKUP(C10,'[1]PREÇO ATUAL'!$A$1:$D$1048576,4,0)</f>
        <v>87.82</v>
      </c>
      <c r="E10" s="84" t="n">
        <v>3.6</v>
      </c>
      <c r="F10" s="84" t="n">
        <v>3.6</v>
      </c>
      <c r="G10" s="84" t="n">
        <v>3.6</v>
      </c>
      <c r="H10" s="84" t="n">
        <v>3.6</v>
      </c>
      <c r="I10" s="85" t="n">
        <v>3.6</v>
      </c>
      <c r="J10" s="85" t="n">
        <v>3.6</v>
      </c>
      <c r="K10" s="85" t="n">
        <v>3.6</v>
      </c>
      <c r="L10" s="85" t="n">
        <v>3.6</v>
      </c>
      <c r="M10" s="85" t="n">
        <v>3.6</v>
      </c>
      <c r="N10" s="84" t="n">
        <v>3.6</v>
      </c>
      <c r="O10" s="110" t="n">
        <v>3.6</v>
      </c>
      <c r="P10" s="85" t="n">
        <v>3.6</v>
      </c>
      <c r="Q10" s="85" t="n">
        <v>3.6</v>
      </c>
      <c r="R10" s="85" t="n">
        <v>3.6</v>
      </c>
      <c r="S10" s="85" t="n">
        <v>3.6</v>
      </c>
      <c r="T10" s="58" t="n">
        <f aca="false">$D10*E10</f>
        <v>316.152</v>
      </c>
      <c r="U10" s="58" t="n">
        <f aca="false">$D10*F10</f>
        <v>316.152</v>
      </c>
      <c r="V10" s="58" t="n">
        <f aca="false">$D10*G10</f>
        <v>316.152</v>
      </c>
      <c r="W10" s="58" t="n">
        <f aca="false">$D10*H10</f>
        <v>316.152</v>
      </c>
      <c r="X10" s="58" t="n">
        <f aca="false">$D10*I10</f>
        <v>316.152</v>
      </c>
      <c r="Y10" s="58" t="n">
        <f aca="false">$D10*J10</f>
        <v>316.152</v>
      </c>
      <c r="Z10" s="58" t="n">
        <f aca="false">$D10*K10</f>
        <v>316.152</v>
      </c>
      <c r="AA10" s="58" t="n">
        <f aca="false">$D10*L10</f>
        <v>316.152</v>
      </c>
      <c r="AB10" s="58" t="n">
        <f aca="false">$D10*M10</f>
        <v>316.152</v>
      </c>
      <c r="AC10" s="58" t="n">
        <f aca="false">$D10*N10</f>
        <v>316.152</v>
      </c>
      <c r="AD10" s="58" t="n">
        <f aca="false">$D10*O10</f>
        <v>316.152</v>
      </c>
      <c r="AE10" s="58" t="n">
        <f aca="false">$D10*P10</f>
        <v>316.152</v>
      </c>
      <c r="AF10" s="58" t="n">
        <f aca="false">$D10*Q10</f>
        <v>316.152</v>
      </c>
      <c r="AG10" s="91" t="n">
        <f aca="false">$D10*R10</f>
        <v>316.152</v>
      </c>
      <c r="AH10" s="91" t="n">
        <f aca="false">$D10*S10</f>
        <v>316.152</v>
      </c>
      <c r="AI10" s="94" t="n">
        <f aca="false">AJ10/$AI$2</f>
        <v>0.34684805266045</v>
      </c>
      <c r="AJ10" s="58" t="n">
        <f aca="false">SUM(T10:AG10)</f>
        <v>4426.128</v>
      </c>
    </row>
    <row r="11" customFormat="false" ht="15" hidden="false" customHeight="false" outlineLevel="0" collapsed="false">
      <c r="A11" s="60" t="n">
        <v>8</v>
      </c>
      <c r="B11" s="61" t="s">
        <v>64</v>
      </c>
      <c r="C11" s="62" t="s">
        <v>65</v>
      </c>
      <c r="D11" s="63" t="n">
        <f aca="false">VLOOKUP(C11,'[1]PREÇO ATUAL'!$A$1:$D$1048576,4,0)</f>
        <v>342</v>
      </c>
      <c r="E11" s="82" t="n">
        <v>0.85</v>
      </c>
      <c r="F11" s="82" t="n">
        <v>0.9</v>
      </c>
      <c r="G11" s="82" t="n">
        <v>0.85</v>
      </c>
      <c r="H11" s="82" t="n">
        <v>0.9</v>
      </c>
      <c r="I11" s="83" t="n">
        <v>0.95</v>
      </c>
      <c r="J11" s="83" t="n">
        <v>1.05</v>
      </c>
      <c r="K11" s="83" t="n">
        <v>0.85</v>
      </c>
      <c r="L11" s="83" t="n">
        <v>0.9</v>
      </c>
      <c r="M11" s="83" t="n">
        <v>0.85</v>
      </c>
      <c r="N11" s="82" t="n">
        <v>1</v>
      </c>
      <c r="O11" s="111" t="n">
        <v>0.85</v>
      </c>
      <c r="P11" s="83" t="n">
        <v>1.25</v>
      </c>
      <c r="Q11" s="83" t="n">
        <v>0.85</v>
      </c>
      <c r="R11" s="83" t="n">
        <v>0.9</v>
      </c>
      <c r="S11" s="83" t="n">
        <v>0.95</v>
      </c>
      <c r="T11" s="66" t="n">
        <f aca="false">D11*E11</f>
        <v>290.7</v>
      </c>
      <c r="U11" s="66" t="n">
        <f aca="false">$D11*F11</f>
        <v>307.8</v>
      </c>
      <c r="V11" s="66" t="n">
        <f aca="false">$D11*G11</f>
        <v>290.7</v>
      </c>
      <c r="W11" s="66" t="n">
        <f aca="false">$D11*H11</f>
        <v>307.8</v>
      </c>
      <c r="X11" s="66" t="n">
        <f aca="false">$D11*I11</f>
        <v>324.9</v>
      </c>
      <c r="Y11" s="66" t="n">
        <f aca="false">$D11*J11</f>
        <v>359.1</v>
      </c>
      <c r="Z11" s="66" t="n">
        <f aca="false">$D11*K11</f>
        <v>290.7</v>
      </c>
      <c r="AA11" s="66" t="n">
        <f aca="false">$D11*L11</f>
        <v>307.8</v>
      </c>
      <c r="AB11" s="66" t="n">
        <f aca="false">$D11*M11</f>
        <v>290.7</v>
      </c>
      <c r="AC11" s="66" t="n">
        <f aca="false">$D11*N11</f>
        <v>342</v>
      </c>
      <c r="AD11" s="66" t="n">
        <f aca="false">$D11*O11</f>
        <v>290.7</v>
      </c>
      <c r="AE11" s="66" t="n">
        <f aca="false">$D11*P11</f>
        <v>427.5</v>
      </c>
      <c r="AF11" s="66" t="n">
        <f aca="false">$D11*Q11</f>
        <v>290.7</v>
      </c>
      <c r="AG11" s="92" t="n">
        <f aca="false">$D11*R11</f>
        <v>307.8</v>
      </c>
      <c r="AH11" s="92" t="n">
        <f aca="false">$D11*S11</f>
        <v>324.9</v>
      </c>
      <c r="AI11" s="95" t="n">
        <f aca="false">AJ11/$AI$2</f>
        <v>0.347065277015908</v>
      </c>
      <c r="AJ11" s="66" t="n">
        <f aca="false">SUM(T11:AG11)</f>
        <v>4428.9</v>
      </c>
    </row>
    <row r="12" customFormat="false" ht="15" hidden="false" customHeight="false" outlineLevel="0" collapsed="false">
      <c r="H12" s="71"/>
      <c r="L12" s="71"/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</sheetData>
  <mergeCells count="5">
    <mergeCell ref="A1:D2"/>
    <mergeCell ref="E1:S1"/>
    <mergeCell ref="T1:AH1"/>
    <mergeCell ref="AI1:AJ1"/>
    <mergeCell ref="AI2:AJ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6CFC24"/>
    <pageSetUpPr fitToPage="false"/>
  </sheetPr>
  <dimension ref="A1:AJ9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C4" activeCellId="0" sqref="C4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44.58"/>
    <col collapsed="false" customWidth="true" hidden="false" outlineLevel="0" max="3" min="3" style="0" width="16.87"/>
    <col collapsed="false" customWidth="true" hidden="false" outlineLevel="0" max="4" min="4" style="0" width="8.71"/>
    <col collapsed="false" customWidth="true" hidden="false" outlineLevel="0" max="19" min="5" style="0" width="5.14"/>
    <col collapsed="false" customWidth="true" hidden="false" outlineLevel="0" max="20" min="20" style="0" width="14.15"/>
    <col collapsed="false" customWidth="true" hidden="false" outlineLevel="0" max="22" min="21" style="0" width="13.43"/>
    <col collapsed="false" customWidth="true" hidden="false" outlineLevel="0" max="23" min="23" style="0" width="15.42"/>
    <col collapsed="false" customWidth="true" hidden="false" outlineLevel="0" max="24" min="24" style="0" width="13.43"/>
    <col collapsed="false" customWidth="true" hidden="false" outlineLevel="0" max="25" min="25" style="0" width="15.42"/>
    <col collapsed="false" customWidth="true" hidden="false" outlineLevel="0" max="26" min="26" style="0" width="13.43"/>
    <col collapsed="false" customWidth="true" hidden="false" outlineLevel="0" max="27" min="27" style="0" width="15.42"/>
    <col collapsed="false" customWidth="true" hidden="false" outlineLevel="0" max="29" min="28" style="0" width="15.71"/>
    <col collapsed="false" customWidth="true" hidden="false" outlineLevel="0" max="30" min="30" style="0" width="13.7"/>
    <col collapsed="false" customWidth="true" hidden="false" outlineLevel="0" max="31" min="31" style="0" width="15.71"/>
    <col collapsed="false" customWidth="true" hidden="false" outlineLevel="0" max="32" min="32" style="0" width="13.7"/>
    <col collapsed="false" customWidth="true" hidden="false" outlineLevel="0" max="33" min="33" style="0" width="15.71"/>
    <col collapsed="false" customWidth="true" hidden="false" outlineLevel="0" max="34" min="34" style="0" width="13.7"/>
    <col collapsed="false" customWidth="true" hidden="false" outlineLevel="0" max="35" min="35" style="0" width="7"/>
  </cols>
  <sheetData>
    <row r="1" customFormat="false" ht="15.75" hidden="false" customHeight="true" outlineLevel="0" collapsed="false">
      <c r="A1" s="89" t="s">
        <v>165</v>
      </c>
      <c r="B1" s="89"/>
      <c r="C1" s="89"/>
      <c r="D1" s="89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36" t="s">
        <v>30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 t="s">
        <v>31</v>
      </c>
      <c r="AJ1" s="37"/>
    </row>
    <row r="2" customFormat="false" ht="15" hidden="false" customHeight="true" outlineLevel="0" collapsed="false">
      <c r="A2" s="89"/>
      <c r="B2" s="89"/>
      <c r="C2" s="89"/>
      <c r="D2" s="89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43" t="n">
        <f aca="false">MROUND(SUM(T4:T11),1)</f>
        <v>861</v>
      </c>
      <c r="U2" s="43" t="n">
        <f aca="false">MROUND(SUM(U4:U11),1)</f>
        <v>992</v>
      </c>
      <c r="V2" s="43" t="n">
        <f aca="false">MROUND(SUM(V4:V11),1)</f>
        <v>861</v>
      </c>
      <c r="W2" s="43" t="n">
        <f aca="false">MROUND(SUM(W4:W11),1)</f>
        <v>1009</v>
      </c>
      <c r="X2" s="43" t="n">
        <f aca="false">MROUND(SUM(X4:X11),1)</f>
        <v>895</v>
      </c>
      <c r="Y2" s="43" t="n">
        <f aca="false">MROUND(SUM(Y4:Y11),1)</f>
        <v>1697</v>
      </c>
      <c r="Z2" s="43" t="n">
        <f aca="false">MROUND(SUM(Z4:Z11),1)</f>
        <v>861</v>
      </c>
      <c r="AA2" s="43" t="n">
        <f aca="false">MROUND(SUM(AA4:AA11),1)</f>
        <v>1009</v>
      </c>
      <c r="AB2" s="43" t="n">
        <f aca="false">MROUND(SUM(AB4:AB11),1)</f>
        <v>861</v>
      </c>
      <c r="AC2" s="145" t="n">
        <f aca="false">MROUND(SUM(AC4:AC11),1)</f>
        <v>1026</v>
      </c>
      <c r="AD2" s="145" t="n">
        <f aca="false">MROUND(SUM(AD4:AD11),1)</f>
        <v>843</v>
      </c>
      <c r="AE2" s="145" t="n">
        <f aca="false">MROUND(SUM(AE4:AE11),1)</f>
        <v>1820</v>
      </c>
      <c r="AF2" s="145" t="n">
        <f aca="false">MROUND(SUM(AF4:AF11),1)</f>
        <v>843</v>
      </c>
      <c r="AG2" s="145" t="n">
        <f aca="false">MROUND(SUM(AG4:AG11),1)</f>
        <v>1009</v>
      </c>
      <c r="AH2" s="43" t="n">
        <f aca="false">MROUND(SUM(AH4:AH11),1)</f>
        <v>895</v>
      </c>
      <c r="AI2" s="44" t="n">
        <f aca="false">SUM(T2:AH2)</f>
        <v>15482</v>
      </c>
      <c r="AJ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s">
        <v>142</v>
      </c>
      <c r="P3" s="48" t="s">
        <v>143</v>
      </c>
      <c r="Q3" s="48" t="s">
        <v>144</v>
      </c>
      <c r="R3" s="48" t="s">
        <v>145</v>
      </c>
      <c r="S3" s="48" t="s">
        <v>146</v>
      </c>
      <c r="T3" s="48" t="n">
        <v>10000</v>
      </c>
      <c r="U3" s="48" t="n">
        <v>20000</v>
      </c>
      <c r="V3" s="48" t="n">
        <v>30000</v>
      </c>
      <c r="W3" s="48" t="n">
        <v>40000</v>
      </c>
      <c r="X3" s="48" t="n">
        <v>50000</v>
      </c>
      <c r="Y3" s="48" t="n">
        <v>60000</v>
      </c>
      <c r="Z3" s="48" t="n">
        <v>70000</v>
      </c>
      <c r="AA3" s="48" t="n">
        <v>80000</v>
      </c>
      <c r="AB3" s="48" t="n">
        <v>90000</v>
      </c>
      <c r="AC3" s="48" t="n">
        <f aca="false">AB3+10000</f>
        <v>100000</v>
      </c>
      <c r="AD3" s="48" t="n">
        <f aca="false">AC3+10000</f>
        <v>110000</v>
      </c>
      <c r="AE3" s="48" t="n">
        <f aca="false">AD3+10000</f>
        <v>120000</v>
      </c>
      <c r="AF3" s="48" t="n">
        <f aca="false">AE3+10000</f>
        <v>130000</v>
      </c>
      <c r="AG3" s="48" t="n">
        <f aca="false">AF3+10000</f>
        <v>140000</v>
      </c>
      <c r="AH3" s="48" t="n">
        <f aca="false">AG3+10000</f>
        <v>150000</v>
      </c>
      <c r="AI3" s="51" t="n">
        <f aca="false">SUM(AI4:AI11)</f>
        <v>0.994239116393231</v>
      </c>
      <c r="AJ3" s="45" t="s">
        <v>47</v>
      </c>
    </row>
    <row r="4" customFormat="false" ht="15" hidden="false" customHeight="false" outlineLevel="0" collapsed="false">
      <c r="A4" s="52" t="n">
        <v>1</v>
      </c>
      <c r="B4" s="53" t="s">
        <v>48</v>
      </c>
      <c r="C4" s="54" t="s">
        <v>123</v>
      </c>
      <c r="D4" s="55" t="n">
        <f aca="false">VLOOKUP(C4,'[1]PREÇO ATUAL'!$A$1:$D$1048576,4,0)</f>
        <v>112.46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6" t="n">
        <v>1</v>
      </c>
      <c r="O4" s="57" t="n">
        <v>1</v>
      </c>
      <c r="P4" s="56" t="n">
        <v>1</v>
      </c>
      <c r="Q4" s="57" t="n">
        <v>1</v>
      </c>
      <c r="R4" s="56" t="n">
        <v>1</v>
      </c>
      <c r="S4" s="57" t="n">
        <v>1</v>
      </c>
      <c r="T4" s="58" t="n">
        <f aca="false">$D4*E4</f>
        <v>112.46</v>
      </c>
      <c r="U4" s="58" t="n">
        <f aca="false">$D4*F4</f>
        <v>112.46</v>
      </c>
      <c r="V4" s="58" t="n">
        <f aca="false">$D4*G4</f>
        <v>112.46</v>
      </c>
      <c r="W4" s="58" t="n">
        <f aca="false">$D4*H4</f>
        <v>112.46</v>
      </c>
      <c r="X4" s="58" t="n">
        <f aca="false">$D4*I4</f>
        <v>112.46</v>
      </c>
      <c r="Y4" s="58" t="n">
        <f aca="false">$D4*J4</f>
        <v>112.46</v>
      </c>
      <c r="Z4" s="58" t="n">
        <f aca="false">$D4*K4</f>
        <v>112.46</v>
      </c>
      <c r="AA4" s="58" t="n">
        <f aca="false">$D4*L4</f>
        <v>112.46</v>
      </c>
      <c r="AB4" s="58" t="n">
        <f aca="false">$D4*M4</f>
        <v>112.46</v>
      </c>
      <c r="AC4" s="91" t="n">
        <f aca="false">$D4*N4</f>
        <v>112.46</v>
      </c>
      <c r="AD4" s="91" t="n">
        <f aca="false">$D4*O4</f>
        <v>112.46</v>
      </c>
      <c r="AE4" s="91" t="n">
        <f aca="false">$D4*P4</f>
        <v>112.46</v>
      </c>
      <c r="AF4" s="91" t="n">
        <f aca="false">$D4*Q4</f>
        <v>112.46</v>
      </c>
      <c r="AG4" s="91" t="n">
        <f aca="false">$D4*R4</f>
        <v>112.46</v>
      </c>
      <c r="AH4" s="91" t="n">
        <f aca="false">$D4*S4</f>
        <v>112.46</v>
      </c>
      <c r="AI4" s="94" t="n">
        <f aca="false">AJ4/$AI$2</f>
        <v>0.108958790853895</v>
      </c>
      <c r="AJ4" s="58" t="n">
        <f aca="false">SUM(T4:AH4)</f>
        <v>1686.9</v>
      </c>
    </row>
    <row r="5" customFormat="false" ht="15" hidden="false" customHeight="false" outlineLevel="0" collapsed="false">
      <c r="A5" s="60" t="n">
        <v>2</v>
      </c>
      <c r="B5" s="61" t="s">
        <v>50</v>
      </c>
      <c r="C5" s="62" t="s">
        <v>124</v>
      </c>
      <c r="D5" s="63" t="n">
        <f aca="false">VLOOKUP(C5,'[1]PREÇO ATUAL'!$A$1:$D$1048576,4,0)</f>
        <v>35.9</v>
      </c>
      <c r="E5" s="64" t="n">
        <v>1</v>
      </c>
      <c r="F5" s="64" t="n">
        <v>1</v>
      </c>
      <c r="G5" s="64" t="n">
        <v>1</v>
      </c>
      <c r="H5" s="64" t="n">
        <v>1</v>
      </c>
      <c r="I5" s="65" t="n">
        <v>1</v>
      </c>
      <c r="J5" s="65" t="n">
        <v>1</v>
      </c>
      <c r="K5" s="65" t="n">
        <v>1</v>
      </c>
      <c r="L5" s="65" t="n">
        <v>1</v>
      </c>
      <c r="M5" s="65" t="n">
        <v>1</v>
      </c>
      <c r="N5" s="64" t="n">
        <v>1</v>
      </c>
      <c r="O5" s="65" t="n">
        <v>1</v>
      </c>
      <c r="P5" s="64" t="n">
        <v>1</v>
      </c>
      <c r="Q5" s="65" t="n">
        <v>1</v>
      </c>
      <c r="R5" s="64" t="n">
        <v>1</v>
      </c>
      <c r="S5" s="65" t="n">
        <v>1</v>
      </c>
      <c r="T5" s="66" t="n">
        <f aca="false">$D5*E5</f>
        <v>35.9</v>
      </c>
      <c r="U5" s="66" t="n">
        <f aca="false">$D5*F5</f>
        <v>35.9</v>
      </c>
      <c r="V5" s="66" t="n">
        <f aca="false">$D5*G5</f>
        <v>35.9</v>
      </c>
      <c r="W5" s="66" t="n">
        <f aca="false">$D5*H5</f>
        <v>35.9</v>
      </c>
      <c r="X5" s="66" t="n">
        <f aca="false">$D5*I5</f>
        <v>35.9</v>
      </c>
      <c r="Y5" s="66" t="n">
        <f aca="false">$D5*J5</f>
        <v>35.9</v>
      </c>
      <c r="Z5" s="66" t="n">
        <f aca="false">$D5*K5</f>
        <v>35.9</v>
      </c>
      <c r="AA5" s="66" t="n">
        <f aca="false">$D5*L5</f>
        <v>35.9</v>
      </c>
      <c r="AB5" s="66" t="n">
        <f aca="false">$D5*M5</f>
        <v>35.9</v>
      </c>
      <c r="AC5" s="92" t="n">
        <f aca="false">$D5*N5</f>
        <v>35.9</v>
      </c>
      <c r="AD5" s="92" t="n">
        <f aca="false">$D5*O5</f>
        <v>35.9</v>
      </c>
      <c r="AE5" s="92" t="n">
        <f aca="false">$D5*P5</f>
        <v>35.9</v>
      </c>
      <c r="AF5" s="92" t="n">
        <f aca="false">$D5*Q5</f>
        <v>35.9</v>
      </c>
      <c r="AG5" s="92" t="n">
        <f aca="false">$D5*R5</f>
        <v>35.9</v>
      </c>
      <c r="AH5" s="92" t="n">
        <f aca="false">$D5*S5</f>
        <v>35.9</v>
      </c>
      <c r="AI5" s="95" t="n">
        <f aca="false">AJ5/$AI$2</f>
        <v>0.034782327864617</v>
      </c>
      <c r="AJ5" s="66" t="n">
        <f aca="false">SUM(T5:AH5)</f>
        <v>538.5</v>
      </c>
    </row>
    <row r="6" customFormat="false" ht="15" hidden="false" customHeight="false" outlineLevel="0" collapsed="false">
      <c r="A6" s="52" t="n">
        <v>3</v>
      </c>
      <c r="B6" s="53" t="s">
        <v>52</v>
      </c>
      <c r="C6" s="54" t="s">
        <v>161</v>
      </c>
      <c r="D6" s="55" t="n">
        <f aca="false">VLOOKUP(C6,'[1]PREÇO ATUAL'!$A$1:$D$1048576,4,0)</f>
        <v>114.17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56" t="n">
        <v>1</v>
      </c>
      <c r="O6" s="57"/>
      <c r="P6" s="56" t="n">
        <v>1</v>
      </c>
      <c r="Q6" s="57"/>
      <c r="R6" s="56" t="n">
        <v>1</v>
      </c>
      <c r="S6" s="57"/>
      <c r="T6" s="58" t="n">
        <f aca="false">$D6*E6</f>
        <v>0</v>
      </c>
      <c r="U6" s="58" t="n">
        <f aca="false">$D6*F6</f>
        <v>114.17</v>
      </c>
      <c r="V6" s="58" t="n">
        <f aca="false">$D6*G6</f>
        <v>0</v>
      </c>
      <c r="W6" s="58" t="n">
        <f aca="false">$D6*H6</f>
        <v>114.17</v>
      </c>
      <c r="X6" s="58" t="n">
        <f aca="false">$D6*I6</f>
        <v>0</v>
      </c>
      <c r="Y6" s="58" t="n">
        <f aca="false">$D6*J6</f>
        <v>114.17</v>
      </c>
      <c r="Z6" s="58" t="n">
        <f aca="false">$D6*K6</f>
        <v>0</v>
      </c>
      <c r="AA6" s="58" t="n">
        <f aca="false">$D6*L6</f>
        <v>114.17</v>
      </c>
      <c r="AB6" s="58" t="n">
        <f aca="false">$D6*M6</f>
        <v>0</v>
      </c>
      <c r="AC6" s="91" t="n">
        <f aca="false">$D6*N6</f>
        <v>114.17</v>
      </c>
      <c r="AD6" s="91" t="n">
        <f aca="false">$D6*O6</f>
        <v>0</v>
      </c>
      <c r="AE6" s="91" t="n">
        <f aca="false">$D6*P6</f>
        <v>114.17</v>
      </c>
      <c r="AF6" s="91" t="n">
        <f aca="false">$D6*Q6</f>
        <v>0</v>
      </c>
      <c r="AG6" s="91" t="n">
        <f aca="false">$D6*R6</f>
        <v>114.17</v>
      </c>
      <c r="AH6" s="91" t="n">
        <f aca="false">$D6*S6</f>
        <v>0</v>
      </c>
      <c r="AI6" s="94" t="n">
        <f aca="false">AJ6/$AI$2</f>
        <v>0.051620591654825</v>
      </c>
      <c r="AJ6" s="58" t="n">
        <f aca="false">SUM(T6:AH6)</f>
        <v>799.19</v>
      </c>
    </row>
    <row r="7" customFormat="false" ht="15" hidden="false" customHeight="false" outlineLevel="0" collapsed="false">
      <c r="A7" s="60" t="n">
        <v>4</v>
      </c>
      <c r="B7" s="61" t="s">
        <v>54</v>
      </c>
      <c r="C7" s="62" t="s">
        <v>126</v>
      </c>
      <c r="D7" s="63" t="n">
        <f aca="false">VLOOKUP(C7,'[1]PREÇO ATUAL'!$A$1:$D$1048576,4,0)</f>
        <v>155.01</v>
      </c>
      <c r="E7" s="64"/>
      <c r="F7" s="64"/>
      <c r="G7" s="64"/>
      <c r="H7" s="64"/>
      <c r="I7" s="65"/>
      <c r="J7" s="65" t="n">
        <v>4</v>
      </c>
      <c r="K7" s="65"/>
      <c r="L7" s="65"/>
      <c r="M7" s="65"/>
      <c r="N7" s="64"/>
      <c r="O7" s="79"/>
      <c r="P7" s="65" t="n">
        <v>4</v>
      </c>
      <c r="Q7" s="65"/>
      <c r="R7" s="65"/>
      <c r="S7" s="65"/>
      <c r="T7" s="66" t="n">
        <f aca="false">$D7*E7</f>
        <v>0</v>
      </c>
      <c r="U7" s="66" t="n">
        <f aca="false">$D7*F7</f>
        <v>0</v>
      </c>
      <c r="V7" s="66" t="n">
        <f aca="false">$D7*G7</f>
        <v>0</v>
      </c>
      <c r="W7" s="66" t="n">
        <f aca="false">$D7*H7</f>
        <v>0</v>
      </c>
      <c r="X7" s="66" t="n">
        <f aca="false">$D7*I7</f>
        <v>0</v>
      </c>
      <c r="Y7" s="66" t="n">
        <f aca="false">$D7*J7</f>
        <v>620.04</v>
      </c>
      <c r="Z7" s="66" t="n">
        <f aca="false">$D7*K7</f>
        <v>0</v>
      </c>
      <c r="AA7" s="66" t="n">
        <f aca="false">$D7*L7</f>
        <v>0</v>
      </c>
      <c r="AB7" s="66" t="n">
        <f aca="false">$D7*M7</f>
        <v>0</v>
      </c>
      <c r="AC7" s="92" t="n">
        <f aca="false">$D7*N7</f>
        <v>0</v>
      </c>
      <c r="AD7" s="92" t="n">
        <f aca="false">$D7*O7</f>
        <v>0</v>
      </c>
      <c r="AE7" s="92" t="n">
        <f aca="false">$D7*P7</f>
        <v>620.04</v>
      </c>
      <c r="AF7" s="92" t="n">
        <f aca="false">$D7*Q7</f>
        <v>0</v>
      </c>
      <c r="AG7" s="92" t="n">
        <f aca="false">$D7*R7</f>
        <v>0</v>
      </c>
      <c r="AH7" s="92" t="n">
        <f aca="false">$D7*S7</f>
        <v>0</v>
      </c>
      <c r="AI7" s="95" t="n">
        <f aca="false">AJ7/$AI$2</f>
        <v>0.0800981785299057</v>
      </c>
      <c r="AJ7" s="66" t="n">
        <f aca="false">SUM(T7:AH7)</f>
        <v>1240.08</v>
      </c>
    </row>
    <row r="8" customFormat="false" ht="15" hidden="false" customHeight="false" outlineLevel="0" collapsed="false">
      <c r="A8" s="52" t="n">
        <v>5</v>
      </c>
      <c r="B8" s="53" t="s">
        <v>60</v>
      </c>
      <c r="C8" s="54" t="s">
        <v>61</v>
      </c>
      <c r="D8" s="55" t="n">
        <f aca="false">VLOOKUP(C8,'[1]PREÇO ATUAL'!$A$1:$D$1048576,4,0)</f>
        <v>33.6224930838505</v>
      </c>
      <c r="E8" s="56"/>
      <c r="F8" s="56"/>
      <c r="G8" s="56"/>
      <c r="H8" s="56"/>
      <c r="I8" s="57"/>
      <c r="J8" s="57"/>
      <c r="K8" s="57"/>
      <c r="L8" s="57"/>
      <c r="M8" s="57"/>
      <c r="N8" s="56"/>
      <c r="O8" s="80"/>
      <c r="P8" s="57"/>
      <c r="Q8" s="57"/>
      <c r="R8" s="57"/>
      <c r="S8" s="57"/>
      <c r="T8" s="58" t="n">
        <f aca="false">$D8*E8</f>
        <v>0</v>
      </c>
      <c r="U8" s="58" t="n">
        <f aca="false">$D8*F8</f>
        <v>0</v>
      </c>
      <c r="V8" s="58" t="n">
        <f aca="false">$D8*G8</f>
        <v>0</v>
      </c>
      <c r="W8" s="58" t="n">
        <f aca="false">$D8*H8</f>
        <v>0</v>
      </c>
      <c r="X8" s="58" t="n">
        <f aca="false">$D8*I8</f>
        <v>0</v>
      </c>
      <c r="Y8" s="58" t="n">
        <f aca="false">$D8*J8</f>
        <v>0</v>
      </c>
      <c r="Z8" s="58" t="n">
        <f aca="false">$D8*K8</f>
        <v>0</v>
      </c>
      <c r="AA8" s="58" t="n">
        <f aca="false">$D8*L8</f>
        <v>0</v>
      </c>
      <c r="AB8" s="58" t="n">
        <f aca="false">$D8*M8</f>
        <v>0</v>
      </c>
      <c r="AC8" s="91" t="n">
        <f aca="false">$D8*N8</f>
        <v>0</v>
      </c>
      <c r="AD8" s="91" t="n">
        <f aca="false">$D8*O8</f>
        <v>0</v>
      </c>
      <c r="AE8" s="91" t="n">
        <f aca="false">$D8*P8</f>
        <v>0</v>
      </c>
      <c r="AF8" s="91" t="n">
        <f aca="false">$D8*Q8</f>
        <v>0</v>
      </c>
      <c r="AG8" s="91" t="n">
        <f aca="false">$D8*R8</f>
        <v>0</v>
      </c>
      <c r="AH8" s="91" t="n">
        <f aca="false">$D8*S8</f>
        <v>0</v>
      </c>
      <c r="AI8" s="94" t="n">
        <f aca="false">AJ8/$AI$2</f>
        <v>0</v>
      </c>
      <c r="AJ8" s="58" t="n">
        <f aca="false">SUM(T8:AH8)</f>
        <v>0</v>
      </c>
    </row>
    <row r="9" customFormat="false" ht="28.5" hidden="false" customHeight="true" outlineLevel="0" collapsed="false">
      <c r="A9" s="60" t="n">
        <v>6</v>
      </c>
      <c r="B9" s="73" t="s">
        <v>163</v>
      </c>
      <c r="C9" s="62" t="s">
        <v>166</v>
      </c>
      <c r="D9" s="63" t="n">
        <f aca="false">VLOOKUP(C9,'[1]PREÇO ATUAL'!$A$1:$D$1048576,4,0)</f>
        <v>88.64</v>
      </c>
      <c r="E9" s="64"/>
      <c r="F9" s="64"/>
      <c r="G9" s="64"/>
      <c r="H9" s="64"/>
      <c r="I9" s="65"/>
      <c r="J9" s="65"/>
      <c r="K9" s="65"/>
      <c r="L9" s="65"/>
      <c r="M9" s="65"/>
      <c r="N9" s="64"/>
      <c r="O9" s="79"/>
      <c r="P9" s="65" t="n">
        <v>1</v>
      </c>
      <c r="Q9" s="65"/>
      <c r="R9" s="65"/>
      <c r="S9" s="65"/>
      <c r="T9" s="66" t="n">
        <f aca="false">$D9*E9</f>
        <v>0</v>
      </c>
      <c r="U9" s="66" t="n">
        <f aca="false">$D9*F9</f>
        <v>0</v>
      </c>
      <c r="V9" s="66" t="n">
        <f aca="false">$D9*G9</f>
        <v>0</v>
      </c>
      <c r="W9" s="66" t="n">
        <f aca="false">$D9*H9</f>
        <v>0</v>
      </c>
      <c r="X9" s="66" t="n">
        <f aca="false">$D9*I9</f>
        <v>0</v>
      </c>
      <c r="Y9" s="66" t="n">
        <f aca="false">$D9*J9</f>
        <v>0</v>
      </c>
      <c r="Z9" s="66" t="n">
        <f aca="false">$D9*K9</f>
        <v>0</v>
      </c>
      <c r="AA9" s="66" t="n">
        <f aca="false">$D9*L9</f>
        <v>0</v>
      </c>
      <c r="AB9" s="66" t="n">
        <f aca="false">$D9*M9</f>
        <v>0</v>
      </c>
      <c r="AC9" s="92" t="n">
        <f aca="false">$D9*N9</f>
        <v>0</v>
      </c>
      <c r="AD9" s="92" t="n">
        <f aca="false">$D9*O9</f>
        <v>0</v>
      </c>
      <c r="AE9" s="92" t="n">
        <f aca="false">$D9*P9</f>
        <v>88.64</v>
      </c>
      <c r="AF9" s="92" t="n">
        <f aca="false">$D9*Q9</f>
        <v>0</v>
      </c>
      <c r="AG9" s="92" t="n">
        <f aca="false">$D9*R9</f>
        <v>0</v>
      </c>
      <c r="AH9" s="92" t="n">
        <f aca="false">$D9*S9</f>
        <v>0</v>
      </c>
      <c r="AI9" s="95"/>
      <c r="AJ9" s="66" t="n">
        <f aca="false">SUM(T9:AH9)</f>
        <v>88.64</v>
      </c>
    </row>
    <row r="10" customFormat="false" ht="15" hidden="false" customHeight="false" outlineLevel="0" collapsed="false">
      <c r="A10" s="52" t="n">
        <v>7</v>
      </c>
      <c r="B10" s="53" t="s">
        <v>127</v>
      </c>
      <c r="C10" s="54" t="s">
        <v>128</v>
      </c>
      <c r="D10" s="55" t="n">
        <f aca="false">VLOOKUP(C10,'[1]PREÇO ATUAL'!$A$1:$D$1048576,4,0)</f>
        <v>87.82</v>
      </c>
      <c r="E10" s="84" t="n">
        <v>4.8</v>
      </c>
      <c r="F10" s="84" t="n">
        <v>4.8</v>
      </c>
      <c r="G10" s="84" t="n">
        <v>4.8</v>
      </c>
      <c r="H10" s="84" t="n">
        <v>4.8</v>
      </c>
      <c r="I10" s="85" t="n">
        <v>4.8</v>
      </c>
      <c r="J10" s="85" t="n">
        <v>4.8</v>
      </c>
      <c r="K10" s="85" t="n">
        <v>4.8</v>
      </c>
      <c r="L10" s="85" t="n">
        <v>4.8</v>
      </c>
      <c r="M10" s="85" t="n">
        <v>4.8</v>
      </c>
      <c r="N10" s="84" t="n">
        <v>4.8</v>
      </c>
      <c r="O10" s="110" t="n">
        <v>4.8</v>
      </c>
      <c r="P10" s="85" t="n">
        <v>4.8</v>
      </c>
      <c r="Q10" s="85" t="n">
        <v>4.8</v>
      </c>
      <c r="R10" s="85" t="n">
        <v>4.8</v>
      </c>
      <c r="S10" s="85" t="n">
        <v>4.8</v>
      </c>
      <c r="T10" s="58" t="n">
        <f aca="false">$D10*E10</f>
        <v>421.536</v>
      </c>
      <c r="U10" s="58" t="n">
        <f aca="false">$D10*F10</f>
        <v>421.536</v>
      </c>
      <c r="V10" s="58" t="n">
        <f aca="false">$D10*G10</f>
        <v>421.536</v>
      </c>
      <c r="W10" s="58" t="n">
        <f aca="false">$D10*H10</f>
        <v>421.536</v>
      </c>
      <c r="X10" s="58" t="n">
        <f aca="false">$D10*I10</f>
        <v>421.536</v>
      </c>
      <c r="Y10" s="58" t="n">
        <f aca="false">$D10*J10</f>
        <v>421.536</v>
      </c>
      <c r="Z10" s="58" t="n">
        <f aca="false">$D10*K10</f>
        <v>421.536</v>
      </c>
      <c r="AA10" s="58" t="n">
        <f aca="false">$D10*L10</f>
        <v>421.536</v>
      </c>
      <c r="AB10" s="58" t="n">
        <f aca="false">$D10*M10</f>
        <v>421.536</v>
      </c>
      <c r="AC10" s="91" t="n">
        <f aca="false">$D10*N10</f>
        <v>421.536</v>
      </c>
      <c r="AD10" s="91" t="n">
        <f aca="false">$D10*O10</f>
        <v>421.536</v>
      </c>
      <c r="AE10" s="91" t="n">
        <f aca="false">$D10*P10</f>
        <v>421.536</v>
      </c>
      <c r="AF10" s="91" t="n">
        <f aca="false">$D10*Q10</f>
        <v>421.536</v>
      </c>
      <c r="AG10" s="91" t="n">
        <f aca="false">$D10*R10</f>
        <v>421.536</v>
      </c>
      <c r="AH10" s="91" t="n">
        <f aca="false">$D10*S10</f>
        <v>421.536</v>
      </c>
      <c r="AI10" s="94" t="n">
        <f aca="false">AJ10/$AI$2</f>
        <v>0.408412349825604</v>
      </c>
      <c r="AJ10" s="58" t="n">
        <f aca="false">SUM(T10:AH10)</f>
        <v>6323.04</v>
      </c>
    </row>
    <row r="11" customFormat="false" ht="15" hidden="false" customHeight="false" outlineLevel="0" collapsed="false">
      <c r="A11" s="60" t="n">
        <v>8</v>
      </c>
      <c r="B11" s="61" t="s">
        <v>64</v>
      </c>
      <c r="C11" s="62" t="s">
        <v>65</v>
      </c>
      <c r="D11" s="63" t="n">
        <f aca="false">VLOOKUP(C11,'[1]PREÇO ATUAL'!$A$1:$D$1048576,4,0)</f>
        <v>342</v>
      </c>
      <c r="E11" s="82" t="n">
        <v>0.85</v>
      </c>
      <c r="F11" s="82" t="n">
        <v>0.9</v>
      </c>
      <c r="G11" s="82" t="n">
        <v>0.85</v>
      </c>
      <c r="H11" s="82" t="n">
        <v>0.95</v>
      </c>
      <c r="I11" s="83" t="n">
        <v>0.95</v>
      </c>
      <c r="J11" s="83" t="n">
        <v>1.15</v>
      </c>
      <c r="K11" s="83" t="n">
        <v>0.85</v>
      </c>
      <c r="L11" s="83" t="n">
        <v>0.95</v>
      </c>
      <c r="M11" s="83" t="n">
        <v>0.85</v>
      </c>
      <c r="N11" s="82" t="n">
        <v>1</v>
      </c>
      <c r="O11" s="111" t="n">
        <v>0.8</v>
      </c>
      <c r="P11" s="83" t="n">
        <v>1.25</v>
      </c>
      <c r="Q11" s="83" t="n">
        <v>0.8</v>
      </c>
      <c r="R11" s="83" t="n">
        <v>0.95</v>
      </c>
      <c r="S11" s="83" t="n">
        <v>0.95</v>
      </c>
      <c r="T11" s="66" t="n">
        <f aca="false">D11*E11</f>
        <v>290.7</v>
      </c>
      <c r="U11" s="66" t="n">
        <f aca="false">$D11*F11</f>
        <v>307.8</v>
      </c>
      <c r="V11" s="66" t="n">
        <f aca="false">$D11*G11</f>
        <v>290.7</v>
      </c>
      <c r="W11" s="66" t="n">
        <f aca="false">$D11*H11</f>
        <v>324.9</v>
      </c>
      <c r="X11" s="66" t="n">
        <f aca="false">$D11*I11</f>
        <v>324.9</v>
      </c>
      <c r="Y11" s="66" t="n">
        <f aca="false">$D11*J11</f>
        <v>393.3</v>
      </c>
      <c r="Z11" s="66" t="n">
        <f aca="false">$D11*K11</f>
        <v>290.7</v>
      </c>
      <c r="AA11" s="66" t="n">
        <f aca="false">$D11*L11</f>
        <v>324.9</v>
      </c>
      <c r="AB11" s="66" t="n">
        <f aca="false">$D11*M11</f>
        <v>290.7</v>
      </c>
      <c r="AC11" s="92" t="n">
        <f aca="false">$D11*N11</f>
        <v>342</v>
      </c>
      <c r="AD11" s="92" t="n">
        <f aca="false">$D11*O11</f>
        <v>273.6</v>
      </c>
      <c r="AE11" s="92" t="n">
        <f aca="false">$D11*P11</f>
        <v>427.5</v>
      </c>
      <c r="AF11" s="92" t="n">
        <f aca="false">$D11*Q11</f>
        <v>273.6</v>
      </c>
      <c r="AG11" s="92" t="n">
        <f aca="false">$D11*R11</f>
        <v>324.9</v>
      </c>
      <c r="AH11" s="92" t="n">
        <f aca="false">$D11*S11</f>
        <v>324.9</v>
      </c>
      <c r="AI11" s="95" t="n">
        <f aca="false">AJ11/$AI$2</f>
        <v>0.310366877664384</v>
      </c>
      <c r="AJ11" s="66" t="n">
        <f aca="false">SUM(T11:AH11)</f>
        <v>4805.1</v>
      </c>
    </row>
    <row r="12" customFormat="false" ht="15" hidden="false" customHeight="false" outlineLevel="0" collapsed="false">
      <c r="H12" s="71"/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</sheetData>
  <mergeCells count="5">
    <mergeCell ref="A1:D2"/>
    <mergeCell ref="E1:S2"/>
    <mergeCell ref="T1:AH1"/>
    <mergeCell ref="AI1:AJ1"/>
    <mergeCell ref="AI2:AJ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J9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C4" activeCellId="0" sqref="C4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54.86"/>
    <col collapsed="false" customWidth="true" hidden="false" outlineLevel="0" max="3" min="3" style="0" width="16.87"/>
    <col collapsed="false" customWidth="true" hidden="false" outlineLevel="0" max="4" min="4" style="0" width="8.71"/>
    <col collapsed="false" customWidth="true" hidden="false" outlineLevel="0" max="14" min="5" style="0" width="7.15"/>
    <col collapsed="false" customWidth="true" hidden="false" outlineLevel="0" max="15" min="15" style="0" width="5.57"/>
    <col collapsed="false" customWidth="true" hidden="false" outlineLevel="0" max="19" min="16" style="0" width="7.15"/>
    <col collapsed="false" customWidth="true" hidden="false" outlineLevel="0" max="21" min="20" style="0" width="14.57"/>
    <col collapsed="false" customWidth="true" hidden="false" outlineLevel="0" max="22" min="22" style="0" width="15.71"/>
    <col collapsed="false" customWidth="true" hidden="false" outlineLevel="0" max="24" min="23" style="0" width="14.57"/>
    <col collapsed="false" customWidth="true" hidden="false" outlineLevel="0" max="25" min="25" style="0" width="16.87"/>
    <col collapsed="false" customWidth="true" hidden="false" outlineLevel="0" max="27" min="26" style="0" width="14.57"/>
    <col collapsed="false" customWidth="true" hidden="false" outlineLevel="0" max="28" min="28" style="0" width="15.71"/>
    <col collapsed="false" customWidth="true" hidden="false" outlineLevel="0" max="30" min="29" style="0" width="13.7"/>
    <col collapsed="false" customWidth="true" hidden="false" outlineLevel="0" max="31" min="31" style="0" width="15.71"/>
    <col collapsed="false" customWidth="true" hidden="false" outlineLevel="0" max="33" min="32" style="0" width="13.7"/>
    <col collapsed="false" customWidth="true" hidden="false" outlineLevel="0" max="34" min="34" style="0" width="15.71"/>
    <col collapsed="false" customWidth="true" hidden="false" outlineLevel="0" max="35" min="35" style="0" width="8.41"/>
  </cols>
  <sheetData>
    <row r="1" customFormat="false" ht="15.75" hidden="false" customHeight="true" outlineLevel="0" collapsed="false">
      <c r="A1" s="89" t="s">
        <v>167</v>
      </c>
      <c r="B1" s="89"/>
      <c r="C1" s="89"/>
      <c r="D1" s="89"/>
      <c r="E1" s="35" t="s">
        <v>29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6" t="s">
        <v>30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 t="s">
        <v>31</v>
      </c>
      <c r="AJ1" s="37"/>
    </row>
    <row r="2" customFormat="false" ht="15" hidden="false" customHeight="true" outlineLevel="0" collapsed="false">
      <c r="A2" s="89"/>
      <c r="B2" s="89"/>
      <c r="C2" s="89"/>
      <c r="D2" s="89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44" t="n">
        <f aca="false">MROUND(SUM(T4:T14),1)</f>
        <v>583</v>
      </c>
      <c r="U2" s="43" t="n">
        <f aca="false">MROUND(SUM(U4:U14),1)</f>
        <v>788</v>
      </c>
      <c r="V2" s="43" t="n">
        <f aca="false">MROUND(SUM(V4:V14),1)</f>
        <v>1176</v>
      </c>
      <c r="W2" s="43" t="n">
        <f aca="false">MROUND(SUM(W4:W14),1)</f>
        <v>856</v>
      </c>
      <c r="X2" s="43" t="n">
        <f aca="false">MROUND(SUM(X4:X14),1)</f>
        <v>789</v>
      </c>
      <c r="Y2" s="43" t="n">
        <f aca="false">MROUND(SUM(Y4:Y14),1)</f>
        <v>2479</v>
      </c>
      <c r="Z2" s="43" t="n">
        <f aca="false">MROUND(SUM(Z4:Z14),1)</f>
        <v>583</v>
      </c>
      <c r="AA2" s="43" t="n">
        <f aca="false">MROUND(SUM(AA4:AA14),1)</f>
        <v>856</v>
      </c>
      <c r="AB2" s="43" t="n">
        <f aca="false">MROUND(SUM(AB4:AB14),1)</f>
        <v>1176</v>
      </c>
      <c r="AC2" s="43" t="n">
        <f aca="false">MROUND(SUM(AC4:AC14),1)</f>
        <v>839</v>
      </c>
      <c r="AD2" s="43" t="n">
        <f aca="false">MROUND(SUM(AD4:AD14),1)</f>
        <v>737</v>
      </c>
      <c r="AE2" s="43" t="n">
        <f aca="false">MROUND(SUM(AE4:AE14),1)</f>
        <v>2982</v>
      </c>
      <c r="AF2" s="43" t="n">
        <f aca="false">MROUND(SUM(AF4:AF14),1)</f>
        <v>583</v>
      </c>
      <c r="AG2" s="43" t="n">
        <f aca="false">MROUND(SUM(AG4:AG14),1)</f>
        <v>788</v>
      </c>
      <c r="AH2" s="43" t="n">
        <f aca="false">MROUND(SUM(AH4:AH14),1)</f>
        <v>1228</v>
      </c>
      <c r="AI2" s="44" t="n">
        <f aca="false">SUM(T2:AH2)</f>
        <v>16443</v>
      </c>
      <c r="AJ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s">
        <v>142</v>
      </c>
      <c r="P3" s="48" t="s">
        <v>143</v>
      </c>
      <c r="Q3" s="48" t="s">
        <v>144</v>
      </c>
      <c r="R3" s="48" t="s">
        <v>145</v>
      </c>
      <c r="S3" s="48" t="s">
        <v>146</v>
      </c>
      <c r="T3" s="48" t="n">
        <v>10000</v>
      </c>
      <c r="U3" s="48" t="n">
        <v>20000</v>
      </c>
      <c r="V3" s="48" t="n">
        <v>30000</v>
      </c>
      <c r="W3" s="48" t="n">
        <v>40000</v>
      </c>
      <c r="X3" s="48" t="n">
        <v>50000</v>
      </c>
      <c r="Y3" s="48" t="n">
        <v>60000</v>
      </c>
      <c r="Z3" s="48" t="n">
        <v>70000</v>
      </c>
      <c r="AA3" s="48" t="n">
        <v>80000</v>
      </c>
      <c r="AB3" s="48" t="n">
        <v>90000</v>
      </c>
      <c r="AC3" s="48" t="n">
        <v>100000</v>
      </c>
      <c r="AD3" s="50" t="n">
        <f aca="false">AC3+10000</f>
        <v>110000</v>
      </c>
      <c r="AE3" s="50" t="n">
        <f aca="false">AD3+10000</f>
        <v>120000</v>
      </c>
      <c r="AF3" s="50" t="n">
        <f aca="false">AE3+10000</f>
        <v>130000</v>
      </c>
      <c r="AG3" s="50" t="n">
        <f aca="false">AF3+10000</f>
        <v>140000</v>
      </c>
      <c r="AH3" s="50" t="n">
        <f aca="false">AG3+10000</f>
        <v>150000</v>
      </c>
      <c r="AI3" s="51" t="s">
        <v>46</v>
      </c>
      <c r="AJ3" s="45" t="s">
        <v>47</v>
      </c>
    </row>
    <row r="4" customFormat="false" ht="15" hidden="false" customHeight="false" outlineLevel="0" collapsed="false">
      <c r="A4" s="52" t="n">
        <v>1</v>
      </c>
      <c r="B4" s="53" t="s">
        <v>168</v>
      </c>
      <c r="C4" s="54" t="s">
        <v>97</v>
      </c>
      <c r="D4" s="55" t="n">
        <f aca="false">VLOOKUP(C4,'[1]PREÇO ATUAL'!$A$1:$D$1048576,4,0)</f>
        <v>71.2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7" t="n">
        <v>1</v>
      </c>
      <c r="O4" s="57" t="n">
        <v>1</v>
      </c>
      <c r="P4" s="57" t="n">
        <v>1</v>
      </c>
      <c r="Q4" s="57" t="n">
        <v>1</v>
      </c>
      <c r="R4" s="57" t="n">
        <v>1</v>
      </c>
      <c r="S4" s="57" t="n">
        <v>1</v>
      </c>
      <c r="T4" s="58" t="n">
        <f aca="false">$D4*E4</f>
        <v>71.2</v>
      </c>
      <c r="U4" s="58" t="n">
        <f aca="false">$D4*F4</f>
        <v>71.2</v>
      </c>
      <c r="V4" s="58" t="n">
        <f aca="false">$D4*G4</f>
        <v>71.2</v>
      </c>
      <c r="W4" s="58" t="n">
        <f aca="false">$D4*H4</f>
        <v>71.2</v>
      </c>
      <c r="X4" s="58" t="n">
        <f aca="false">$D4*I4</f>
        <v>71.2</v>
      </c>
      <c r="Y4" s="58" t="n">
        <f aca="false">$D4*J4</f>
        <v>71.2</v>
      </c>
      <c r="Z4" s="58" t="n">
        <f aca="false">$D4*K4</f>
        <v>71.2</v>
      </c>
      <c r="AA4" s="58" t="n">
        <f aca="false">$D4*L4</f>
        <v>71.2</v>
      </c>
      <c r="AB4" s="58" t="n">
        <f aca="false">$D4*M4</f>
        <v>71.2</v>
      </c>
      <c r="AC4" s="58" t="n">
        <f aca="false">$D4*N4</f>
        <v>71.2</v>
      </c>
      <c r="AD4" s="58" t="n">
        <f aca="false">$D4*O4</f>
        <v>71.2</v>
      </c>
      <c r="AE4" s="58" t="n">
        <f aca="false">$D4*P4</f>
        <v>71.2</v>
      </c>
      <c r="AF4" s="58" t="n">
        <f aca="false">$D4*Q4</f>
        <v>71.2</v>
      </c>
      <c r="AG4" s="58" t="n">
        <f aca="false">$D4*R4</f>
        <v>71.2</v>
      </c>
      <c r="AH4" s="58" t="n">
        <f aca="false">$D4*S4</f>
        <v>71.2</v>
      </c>
      <c r="AI4" s="94" t="n">
        <f aca="false">AJ4/$AI$2</f>
        <v>0.0649516511585477</v>
      </c>
      <c r="AJ4" s="58" t="n">
        <f aca="false">SUM(T4:AH4)</f>
        <v>1068</v>
      </c>
    </row>
    <row r="5" customFormat="false" ht="15" hidden="false" customHeight="false" outlineLevel="0" collapsed="false">
      <c r="A5" s="60" t="n">
        <v>2</v>
      </c>
      <c r="B5" s="61" t="s">
        <v>83</v>
      </c>
      <c r="C5" s="62" t="s">
        <v>51</v>
      </c>
      <c r="D5" s="63" t="n">
        <f aca="false">VLOOKUP(C5,'[1]PREÇO ATUAL'!$A$1:$D$1048576,4,0)</f>
        <v>35.9</v>
      </c>
      <c r="E5" s="64"/>
      <c r="F5" s="64" t="n">
        <v>1</v>
      </c>
      <c r="G5" s="64"/>
      <c r="H5" s="64" t="n">
        <v>1</v>
      </c>
      <c r="I5" s="65"/>
      <c r="J5" s="65" t="n">
        <v>1</v>
      </c>
      <c r="K5" s="65"/>
      <c r="L5" s="65" t="n">
        <v>1</v>
      </c>
      <c r="M5" s="65"/>
      <c r="N5" s="65" t="n">
        <v>1</v>
      </c>
      <c r="O5" s="65"/>
      <c r="P5" s="65" t="n">
        <v>1</v>
      </c>
      <c r="Q5" s="65"/>
      <c r="R5" s="65" t="n">
        <v>1</v>
      </c>
      <c r="S5" s="65"/>
      <c r="T5" s="66" t="n">
        <f aca="false">$D5*E5</f>
        <v>0</v>
      </c>
      <c r="U5" s="66" t="n">
        <f aca="false">$D5*F5</f>
        <v>35.9</v>
      </c>
      <c r="V5" s="66" t="n">
        <f aca="false">$D5*G5</f>
        <v>0</v>
      </c>
      <c r="W5" s="66" t="n">
        <f aca="false">$D5*H5</f>
        <v>35.9</v>
      </c>
      <c r="X5" s="66" t="n">
        <f aca="false">$D5*I5</f>
        <v>0</v>
      </c>
      <c r="Y5" s="66" t="n">
        <f aca="false">$D5*J5</f>
        <v>35.9</v>
      </c>
      <c r="Z5" s="66" t="n">
        <f aca="false">$D5*K5</f>
        <v>0</v>
      </c>
      <c r="AA5" s="66" t="n">
        <f aca="false">$D5*L5</f>
        <v>35.9</v>
      </c>
      <c r="AB5" s="66" t="n">
        <f aca="false">$D5*M5</f>
        <v>0</v>
      </c>
      <c r="AC5" s="66" t="n">
        <f aca="false">$D5*N5</f>
        <v>35.9</v>
      </c>
      <c r="AD5" s="66" t="n">
        <f aca="false">$D5*O5</f>
        <v>0</v>
      </c>
      <c r="AE5" s="66" t="n">
        <f aca="false">$D5*P5</f>
        <v>35.9</v>
      </c>
      <c r="AF5" s="66" t="n">
        <f aca="false">$D5*Q5</f>
        <v>0</v>
      </c>
      <c r="AG5" s="66" t="n">
        <f aca="false">$D5*R5</f>
        <v>35.9</v>
      </c>
      <c r="AH5" s="66" t="n">
        <f aca="false">$D5*S5</f>
        <v>0</v>
      </c>
      <c r="AI5" s="95" t="n">
        <f aca="false">AJ5/$AI$2</f>
        <v>0.0152830991911452</v>
      </c>
      <c r="AJ5" s="66" t="n">
        <f aca="false">SUM(T5:AH5)</f>
        <v>251.3</v>
      </c>
    </row>
    <row r="6" customFormat="false" ht="15" hidden="false" customHeight="false" outlineLevel="0" collapsed="false">
      <c r="A6" s="52" t="n">
        <v>3</v>
      </c>
      <c r="B6" s="53" t="s">
        <v>169</v>
      </c>
      <c r="C6" s="54" t="s">
        <v>100</v>
      </c>
      <c r="D6" s="55" t="n">
        <f aca="false">VLOOKUP(C6,'[1]PREÇO ATUAL'!$A$1:$D$1048576,4,0)</f>
        <v>83.06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57" t="n">
        <v>1</v>
      </c>
      <c r="O6" s="57"/>
      <c r="P6" s="57" t="n">
        <v>1</v>
      </c>
      <c r="Q6" s="57"/>
      <c r="R6" s="57" t="n">
        <v>1</v>
      </c>
      <c r="S6" s="57"/>
      <c r="T6" s="58" t="n">
        <f aca="false">$D6*E6</f>
        <v>0</v>
      </c>
      <c r="U6" s="58" t="n">
        <f aca="false">$D6*F6</f>
        <v>83.06</v>
      </c>
      <c r="V6" s="58" t="n">
        <f aca="false">$D6*G6</f>
        <v>0</v>
      </c>
      <c r="W6" s="58" t="n">
        <f aca="false">$D6*H6</f>
        <v>83.06</v>
      </c>
      <c r="X6" s="58" t="n">
        <f aca="false">$D6*I6</f>
        <v>0</v>
      </c>
      <c r="Y6" s="58" t="n">
        <f aca="false">$D6*J6</f>
        <v>83.06</v>
      </c>
      <c r="Z6" s="58" t="n">
        <f aca="false">$D6*K6</f>
        <v>0</v>
      </c>
      <c r="AA6" s="58" t="n">
        <f aca="false">$D6*L6</f>
        <v>83.06</v>
      </c>
      <c r="AB6" s="58" t="n">
        <f aca="false">$D6*M6</f>
        <v>0</v>
      </c>
      <c r="AC6" s="58" t="n">
        <f aca="false">$D6*N6</f>
        <v>83.06</v>
      </c>
      <c r="AD6" s="58" t="n">
        <f aca="false">$D6*O6</f>
        <v>0</v>
      </c>
      <c r="AE6" s="58" t="n">
        <f aca="false">$D6*P6</f>
        <v>83.06</v>
      </c>
      <c r="AF6" s="58" t="n">
        <f aca="false">$D6*Q6</f>
        <v>0</v>
      </c>
      <c r="AG6" s="58" t="n">
        <f aca="false">$D6*R6</f>
        <v>83.06</v>
      </c>
      <c r="AH6" s="58" t="n">
        <f aca="false">$D6*S6</f>
        <v>0</v>
      </c>
      <c r="AI6" s="94" t="n">
        <f aca="false">AJ6/$AI$2</f>
        <v>0.0353597275436356</v>
      </c>
      <c r="AJ6" s="58" t="n">
        <f aca="false">SUM(T6:AH6)</f>
        <v>581.42</v>
      </c>
    </row>
    <row r="7" customFormat="false" ht="15" hidden="false" customHeight="false" outlineLevel="0" collapsed="false">
      <c r="A7" s="60" t="n">
        <v>4</v>
      </c>
      <c r="B7" s="61" t="s">
        <v>85</v>
      </c>
      <c r="C7" s="62" t="s">
        <v>111</v>
      </c>
      <c r="D7" s="63" t="n">
        <f aca="false">VLOOKUP(C7,'[1]PREÇO ATUAL'!$A$1:$D$1048576,4,0)</f>
        <v>49.9</v>
      </c>
      <c r="E7" s="64"/>
      <c r="F7" s="64"/>
      <c r="G7" s="64" t="n">
        <v>4</v>
      </c>
      <c r="H7" s="64"/>
      <c r="I7" s="65"/>
      <c r="J7" s="65" t="n">
        <v>4</v>
      </c>
      <c r="K7" s="65"/>
      <c r="L7" s="65"/>
      <c r="M7" s="65" t="n">
        <v>4</v>
      </c>
      <c r="N7" s="65"/>
      <c r="O7" s="65"/>
      <c r="P7" s="65" t="n">
        <v>4</v>
      </c>
      <c r="Q7" s="65"/>
      <c r="R7" s="65"/>
      <c r="S7" s="65" t="n">
        <v>4</v>
      </c>
      <c r="T7" s="66" t="n">
        <f aca="false">$D7*E7</f>
        <v>0</v>
      </c>
      <c r="U7" s="66" t="n">
        <f aca="false">$D7*F7</f>
        <v>0</v>
      </c>
      <c r="V7" s="66" t="n">
        <f aca="false">$D7*G7</f>
        <v>199.6</v>
      </c>
      <c r="W7" s="66" t="n">
        <f aca="false">$D7*H7</f>
        <v>0</v>
      </c>
      <c r="X7" s="66" t="n">
        <f aca="false">$D7*I7</f>
        <v>0</v>
      </c>
      <c r="Y7" s="66" t="n">
        <f aca="false">$D7*J7</f>
        <v>199.6</v>
      </c>
      <c r="Z7" s="66" t="n">
        <f aca="false">$D7*K7</f>
        <v>0</v>
      </c>
      <c r="AA7" s="66" t="n">
        <f aca="false">$D7*L7</f>
        <v>0</v>
      </c>
      <c r="AB7" s="66" t="n">
        <f aca="false">$D7*M7</f>
        <v>199.6</v>
      </c>
      <c r="AC7" s="66" t="n">
        <f aca="false">$D7*N7</f>
        <v>0</v>
      </c>
      <c r="AD7" s="66" t="n">
        <f aca="false">$D7*O7</f>
        <v>0</v>
      </c>
      <c r="AE7" s="66" t="n">
        <f aca="false">$D7*P7</f>
        <v>199.6</v>
      </c>
      <c r="AF7" s="66" t="n">
        <f aca="false">$D7*Q7</f>
        <v>0</v>
      </c>
      <c r="AG7" s="66" t="n">
        <f aca="false">$D7*R7</f>
        <v>0</v>
      </c>
      <c r="AH7" s="66" t="n">
        <f aca="false">$D7*S7</f>
        <v>199.6</v>
      </c>
      <c r="AI7" s="95" t="n">
        <f aca="false">AJ7/$AI$2</f>
        <v>0.0606945204646354</v>
      </c>
      <c r="AJ7" s="66" t="n">
        <f aca="false">SUM(T7:AH7)</f>
        <v>998</v>
      </c>
    </row>
    <row r="8" customFormat="false" ht="15" hidden="false" customHeight="false" outlineLevel="0" collapsed="false">
      <c r="A8" s="52" t="n">
        <v>5</v>
      </c>
      <c r="B8" s="53" t="s">
        <v>170</v>
      </c>
      <c r="C8" s="54" t="s">
        <v>95</v>
      </c>
      <c r="D8" s="55" t="n">
        <f aca="false">VLOOKUP(C8,'[1]PREÇO ATUAL'!$A$1:$D$1048576,4,0)</f>
        <v>136.4</v>
      </c>
      <c r="E8" s="56"/>
      <c r="F8" s="56"/>
      <c r="G8" s="56"/>
      <c r="H8" s="56"/>
      <c r="I8" s="57"/>
      <c r="J8" s="57" t="n">
        <v>1</v>
      </c>
      <c r="K8" s="57"/>
      <c r="L8" s="57"/>
      <c r="M8" s="57"/>
      <c r="N8" s="57"/>
      <c r="O8" s="57"/>
      <c r="P8" s="57" t="n">
        <v>1</v>
      </c>
      <c r="Q8" s="57"/>
      <c r="R8" s="57"/>
      <c r="S8" s="57"/>
      <c r="T8" s="58" t="n">
        <f aca="false">$D8*E8</f>
        <v>0</v>
      </c>
      <c r="U8" s="58" t="n">
        <f aca="false">$D8*F8</f>
        <v>0</v>
      </c>
      <c r="V8" s="58" t="n">
        <f aca="false">$D8*G8</f>
        <v>0</v>
      </c>
      <c r="W8" s="58" t="n">
        <f aca="false">$D8*H8</f>
        <v>0</v>
      </c>
      <c r="X8" s="58" t="n">
        <f aca="false">$D8*I8</f>
        <v>0</v>
      </c>
      <c r="Y8" s="58" t="n">
        <f aca="false">$D8*J8</f>
        <v>136.4</v>
      </c>
      <c r="Z8" s="58" t="n">
        <f aca="false">$D8*K8</f>
        <v>0</v>
      </c>
      <c r="AA8" s="58" t="n">
        <f aca="false">$D8*L8</f>
        <v>0</v>
      </c>
      <c r="AB8" s="58" t="n">
        <f aca="false">$D8*M8</f>
        <v>0</v>
      </c>
      <c r="AC8" s="58" t="n">
        <f aca="false">$D8*N8</f>
        <v>0</v>
      </c>
      <c r="AD8" s="58" t="n">
        <f aca="false">$D8*O8</f>
        <v>0</v>
      </c>
      <c r="AE8" s="58" t="n">
        <f aca="false">$D8*P8</f>
        <v>136.4</v>
      </c>
      <c r="AF8" s="58" t="n">
        <f aca="false">$D8*Q8</f>
        <v>0</v>
      </c>
      <c r="AG8" s="58" t="n">
        <f aca="false">$D8*R8</f>
        <v>0</v>
      </c>
      <c r="AH8" s="58" t="n">
        <f aca="false">$D8*S8</f>
        <v>0</v>
      </c>
      <c r="AI8" s="94" t="n">
        <f aca="false">AJ8/$AI$2</f>
        <v>0.016590646475704</v>
      </c>
      <c r="AJ8" s="58" t="n">
        <f aca="false">SUM(T8:AH8)</f>
        <v>272.8</v>
      </c>
    </row>
    <row r="9" customFormat="false" ht="15" hidden="false" customHeight="false" outlineLevel="0" collapsed="false">
      <c r="A9" s="60" t="n">
        <v>6</v>
      </c>
      <c r="B9" s="61" t="s">
        <v>134</v>
      </c>
      <c r="C9" s="62" t="s">
        <v>118</v>
      </c>
      <c r="D9" s="63" t="n">
        <f aca="false">VLOOKUP(C9,'[1]PREÇO ATUAL'!$A$1:$D$1048576,4,0)</f>
        <v>110.87</v>
      </c>
      <c r="E9" s="64"/>
      <c r="F9" s="64"/>
      <c r="G9" s="64"/>
      <c r="H9" s="64"/>
      <c r="I9" s="65"/>
      <c r="J9" s="65" t="n">
        <v>1</v>
      </c>
      <c r="K9" s="65"/>
      <c r="L9" s="65"/>
      <c r="M9" s="65"/>
      <c r="N9" s="65"/>
      <c r="O9" s="65"/>
      <c r="P9" s="65" t="n">
        <v>1</v>
      </c>
      <c r="Q9" s="65"/>
      <c r="R9" s="65"/>
      <c r="S9" s="65"/>
      <c r="T9" s="66" t="n">
        <f aca="false">$D9*E9</f>
        <v>0</v>
      </c>
      <c r="U9" s="66" t="n">
        <f aca="false">$D9*F9</f>
        <v>0</v>
      </c>
      <c r="V9" s="66" t="n">
        <f aca="false">$D9*G9</f>
        <v>0</v>
      </c>
      <c r="W9" s="66" t="n">
        <f aca="false">$D9*H9</f>
        <v>0</v>
      </c>
      <c r="X9" s="66" t="n">
        <f aca="false">$D9*I9</f>
        <v>0</v>
      </c>
      <c r="Y9" s="66" t="n">
        <f aca="false">$D9*J9</f>
        <v>110.87</v>
      </c>
      <c r="Z9" s="66" t="n">
        <f aca="false">$D9*K9</f>
        <v>0</v>
      </c>
      <c r="AA9" s="66" t="n">
        <f aca="false">$D9*L9</f>
        <v>0</v>
      </c>
      <c r="AB9" s="66" t="n">
        <f aca="false">$D9*M9</f>
        <v>0</v>
      </c>
      <c r="AC9" s="66" t="n">
        <f aca="false">$D9*N9</f>
        <v>0</v>
      </c>
      <c r="AD9" s="66" t="n">
        <f aca="false">$D9*O9</f>
        <v>0</v>
      </c>
      <c r="AE9" s="66" t="n">
        <f aca="false">$D9*P9</f>
        <v>110.87</v>
      </c>
      <c r="AF9" s="66" t="n">
        <f aca="false">$D9*Q9</f>
        <v>0</v>
      </c>
      <c r="AG9" s="66" t="n">
        <f aca="false">$D9*R9</f>
        <v>0</v>
      </c>
      <c r="AH9" s="66" t="n">
        <f aca="false">$D9*S9</f>
        <v>0</v>
      </c>
      <c r="AI9" s="95" t="n">
        <f aca="false">AJ9/$AI$2</f>
        <v>0.0134853737152588</v>
      </c>
      <c r="AJ9" s="66" t="n">
        <f aca="false">SUM(T9:AH9)</f>
        <v>221.74</v>
      </c>
    </row>
    <row r="10" customFormat="false" ht="15" hidden="false" customHeight="false" outlineLevel="0" collapsed="false">
      <c r="A10" s="52" t="n">
        <v>7</v>
      </c>
      <c r="B10" s="53" t="s">
        <v>135</v>
      </c>
      <c r="C10" s="54" t="s">
        <v>136</v>
      </c>
      <c r="D10" s="55" t="n">
        <f aca="false">VLOOKUP(C10,'[1]PREÇO ATUAL'!$A$1:$D$1048576,4,0)</f>
        <v>149.54</v>
      </c>
      <c r="E10" s="56"/>
      <c r="F10" s="56"/>
      <c r="G10" s="56"/>
      <c r="H10" s="56"/>
      <c r="I10" s="57"/>
      <c r="J10" s="57" t="n">
        <v>1</v>
      </c>
      <c r="K10" s="57"/>
      <c r="L10" s="57"/>
      <c r="M10" s="57"/>
      <c r="N10" s="57"/>
      <c r="O10" s="57"/>
      <c r="P10" s="57" t="n">
        <v>1</v>
      </c>
      <c r="Q10" s="57"/>
      <c r="R10" s="57"/>
      <c r="S10" s="57"/>
      <c r="T10" s="58" t="n">
        <f aca="false">$D10*E10</f>
        <v>0</v>
      </c>
      <c r="U10" s="58" t="n">
        <f aca="false">$D10*F10</f>
        <v>0</v>
      </c>
      <c r="V10" s="58" t="n">
        <f aca="false">$D10*G10</f>
        <v>0</v>
      </c>
      <c r="W10" s="58" t="n">
        <f aca="false">$D10*H10</f>
        <v>0</v>
      </c>
      <c r="X10" s="58" t="n">
        <f aca="false">$D10*I10</f>
        <v>0</v>
      </c>
      <c r="Y10" s="58" t="n">
        <f aca="false">$D10*J10</f>
        <v>149.54</v>
      </c>
      <c r="Z10" s="58" t="n">
        <f aca="false">$D10*K10</f>
        <v>0</v>
      </c>
      <c r="AA10" s="58" t="n">
        <f aca="false">$D10*L10</f>
        <v>0</v>
      </c>
      <c r="AB10" s="58" t="n">
        <f aca="false">$D10*M10</f>
        <v>0</v>
      </c>
      <c r="AC10" s="58" t="n">
        <f aca="false">$D10*N10</f>
        <v>0</v>
      </c>
      <c r="AD10" s="58" t="n">
        <f aca="false">$D10*O10</f>
        <v>0</v>
      </c>
      <c r="AE10" s="58" t="n">
        <f aca="false">$D10*P10</f>
        <v>149.54</v>
      </c>
      <c r="AF10" s="58" t="n">
        <f aca="false">$D10*Q10</f>
        <v>0</v>
      </c>
      <c r="AG10" s="58" t="n">
        <f aca="false">$D10*R10</f>
        <v>0</v>
      </c>
      <c r="AH10" s="58" t="n">
        <f aca="false">$D10*S10</f>
        <v>0</v>
      </c>
      <c r="AI10" s="94" t="n">
        <f aca="false">AJ10/$AI$2</f>
        <v>0.0181888949705042</v>
      </c>
      <c r="AJ10" s="58" t="n">
        <f aca="false">SUM(T10:AH10)</f>
        <v>299.08</v>
      </c>
    </row>
    <row r="11" customFormat="false" ht="15" hidden="false" customHeight="false" outlineLevel="0" collapsed="false">
      <c r="A11" s="60" t="n">
        <v>8</v>
      </c>
      <c r="B11" s="61" t="s">
        <v>58</v>
      </c>
      <c r="C11" s="62" t="s">
        <v>59</v>
      </c>
      <c r="D11" s="63" t="n">
        <f aca="false">VLOOKUP(C11,'[1]PREÇO ATUAL'!$A$1:$D$1048576,4,0)</f>
        <v>165.97812</v>
      </c>
      <c r="E11" s="64"/>
      <c r="F11" s="64"/>
      <c r="G11" s="64"/>
      <c r="H11" s="64"/>
      <c r="I11" s="65"/>
      <c r="J11" s="65"/>
      <c r="K11" s="65"/>
      <c r="L11" s="65"/>
      <c r="M11" s="65"/>
      <c r="N11" s="65"/>
      <c r="O11" s="65"/>
      <c r="P11" s="83" t="n">
        <v>2</v>
      </c>
      <c r="Q11" s="65"/>
      <c r="R11" s="65"/>
      <c r="S11" s="65"/>
      <c r="T11" s="66" t="n">
        <f aca="false">$D11*E11</f>
        <v>0</v>
      </c>
      <c r="U11" s="66" t="n">
        <f aca="false">$D11*F11</f>
        <v>0</v>
      </c>
      <c r="V11" s="66" t="n">
        <f aca="false">$D11*G11</f>
        <v>0</v>
      </c>
      <c r="W11" s="66" t="n">
        <f aca="false">$D11*H11</f>
        <v>0</v>
      </c>
      <c r="X11" s="66" t="n">
        <f aca="false">$D11*I11</f>
        <v>0</v>
      </c>
      <c r="Y11" s="66" t="n">
        <f aca="false">$D11*J11</f>
        <v>0</v>
      </c>
      <c r="Z11" s="66" t="n">
        <f aca="false">$D11*K11</f>
        <v>0</v>
      </c>
      <c r="AA11" s="66" t="n">
        <f aca="false">$D11*L11</f>
        <v>0</v>
      </c>
      <c r="AB11" s="66" t="n">
        <f aca="false">$D11*M11</f>
        <v>0</v>
      </c>
      <c r="AC11" s="66" t="n">
        <f aca="false">$D11*N11</f>
        <v>0</v>
      </c>
      <c r="AD11" s="66" t="n">
        <f aca="false">$D11*O11</f>
        <v>0</v>
      </c>
      <c r="AE11" s="66" t="n">
        <f aca="false">$D11*P11</f>
        <v>331.95624</v>
      </c>
      <c r="AF11" s="66" t="n">
        <f aca="false">$D11*Q11</f>
        <v>0</v>
      </c>
      <c r="AG11" s="66" t="n">
        <f aca="false">$D11*R11</f>
        <v>0</v>
      </c>
      <c r="AH11" s="66" t="n">
        <f aca="false">$D11*S11</f>
        <v>0</v>
      </c>
      <c r="AI11" s="95"/>
      <c r="AJ11" s="66" t="n">
        <f aca="false">SUM(T11:AH11)</f>
        <v>331.95624</v>
      </c>
    </row>
    <row r="12" customFormat="false" ht="15" hidden="false" customHeight="false" outlineLevel="0" collapsed="false">
      <c r="A12" s="52" t="n">
        <v>9</v>
      </c>
      <c r="B12" s="53" t="s">
        <v>60</v>
      </c>
      <c r="C12" s="54" t="s">
        <v>61</v>
      </c>
      <c r="D12" s="55" t="n">
        <f aca="false">VLOOKUP(C12,'[1]PREÇO ATUAL'!$A$1:$D$1048576,4,0)</f>
        <v>33.6224930838505</v>
      </c>
      <c r="E12" s="69"/>
      <c r="F12" s="69"/>
      <c r="G12" s="69"/>
      <c r="H12" s="69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8" t="n">
        <f aca="false">$D12*E12</f>
        <v>0</v>
      </c>
      <c r="U12" s="58" t="n">
        <f aca="false">$D12*F12</f>
        <v>0</v>
      </c>
      <c r="V12" s="58" t="n">
        <f aca="false">$D12*G12</f>
        <v>0</v>
      </c>
      <c r="W12" s="58" t="n">
        <f aca="false">$D12*H12</f>
        <v>0</v>
      </c>
      <c r="X12" s="58" t="n">
        <f aca="false">$D12*I12</f>
        <v>0</v>
      </c>
      <c r="Y12" s="58" t="n">
        <f aca="false">$D12*J12</f>
        <v>0</v>
      </c>
      <c r="Z12" s="58" t="n">
        <f aca="false">$D12*K12</f>
        <v>0</v>
      </c>
      <c r="AA12" s="58" t="n">
        <f aca="false">$D12*L12</f>
        <v>0</v>
      </c>
      <c r="AB12" s="58" t="n">
        <f aca="false">$D12*M12</f>
        <v>0</v>
      </c>
      <c r="AC12" s="58" t="n">
        <f aca="false">$D12*N12</f>
        <v>0</v>
      </c>
      <c r="AD12" s="58" t="n">
        <f aca="false">$D12*O12</f>
        <v>0</v>
      </c>
      <c r="AE12" s="58" t="n">
        <f aca="false">$D12*P12</f>
        <v>0</v>
      </c>
      <c r="AF12" s="58" t="n">
        <f aca="false">$D12*Q12</f>
        <v>0</v>
      </c>
      <c r="AG12" s="58" t="n">
        <f aca="false">$D12*R12</f>
        <v>0</v>
      </c>
      <c r="AH12" s="58" t="n">
        <f aca="false">$D12*S12</f>
        <v>0</v>
      </c>
      <c r="AI12" s="94" t="n">
        <f aca="false">AJ12/$AI$2</f>
        <v>0</v>
      </c>
      <c r="AJ12" s="58" t="n">
        <f aca="false">SUM(T12:AH12)</f>
        <v>0</v>
      </c>
    </row>
    <row r="13" customFormat="false" ht="15" hidden="false" customHeight="false" outlineLevel="0" collapsed="false">
      <c r="A13" s="60" t="n">
        <v>10</v>
      </c>
      <c r="B13" s="61" t="s">
        <v>89</v>
      </c>
      <c r="C13" s="62" t="s">
        <v>90</v>
      </c>
      <c r="D13" s="63" t="n">
        <f aca="false">VLOOKUP(C13,'[1]PREÇO ATUAL'!$A$1:$D$1048576,4,0)</f>
        <v>75.7</v>
      </c>
      <c r="E13" s="146" t="n">
        <v>2.7</v>
      </c>
      <c r="F13" s="146" t="n">
        <v>2.7</v>
      </c>
      <c r="G13" s="146" t="n">
        <v>2.7</v>
      </c>
      <c r="H13" s="146" t="n">
        <v>2.7</v>
      </c>
      <c r="I13" s="147" t="n">
        <v>2.7</v>
      </c>
      <c r="J13" s="147" t="n">
        <v>2.7</v>
      </c>
      <c r="K13" s="147" t="n">
        <v>2.7</v>
      </c>
      <c r="L13" s="147" t="n">
        <v>2.7</v>
      </c>
      <c r="M13" s="147" t="n">
        <v>2.7</v>
      </c>
      <c r="N13" s="147" t="n">
        <v>2.7</v>
      </c>
      <c r="O13" s="148" t="n">
        <v>2.7</v>
      </c>
      <c r="P13" s="147" t="n">
        <v>2.7</v>
      </c>
      <c r="Q13" s="147" t="n">
        <v>2.7</v>
      </c>
      <c r="R13" s="147" t="n">
        <v>2.7</v>
      </c>
      <c r="S13" s="147" t="n">
        <v>2.7</v>
      </c>
      <c r="T13" s="66" t="n">
        <f aca="false">$D13*E13</f>
        <v>204.39</v>
      </c>
      <c r="U13" s="66" t="n">
        <f aca="false">$D13*F13</f>
        <v>204.39</v>
      </c>
      <c r="V13" s="66" t="n">
        <f aca="false">$D13*G13</f>
        <v>204.39</v>
      </c>
      <c r="W13" s="66" t="n">
        <f aca="false">$D13*H13</f>
        <v>204.39</v>
      </c>
      <c r="X13" s="66" t="n">
        <f aca="false">$D13*I13</f>
        <v>204.39</v>
      </c>
      <c r="Y13" s="66" t="n">
        <f aca="false">$D13*J13</f>
        <v>204.39</v>
      </c>
      <c r="Z13" s="66" t="n">
        <f aca="false">$D13*K13</f>
        <v>204.39</v>
      </c>
      <c r="AA13" s="66" t="n">
        <f aca="false">$D13*L13</f>
        <v>204.39</v>
      </c>
      <c r="AB13" s="66" t="n">
        <f aca="false">$D13*M13</f>
        <v>204.39</v>
      </c>
      <c r="AC13" s="66" t="n">
        <f aca="false">$D13*N13</f>
        <v>204.39</v>
      </c>
      <c r="AD13" s="66" t="n">
        <f aca="false">$D13*O13</f>
        <v>204.39</v>
      </c>
      <c r="AE13" s="66" t="n">
        <f aca="false">$D13*P13</f>
        <v>204.39</v>
      </c>
      <c r="AF13" s="66" t="n">
        <f aca="false">$D13*Q13</f>
        <v>204.39</v>
      </c>
      <c r="AG13" s="66" t="n">
        <f aca="false">$D13*R13</f>
        <v>204.39</v>
      </c>
      <c r="AH13" s="66" t="n">
        <f aca="false">$D13*S13</f>
        <v>204.39</v>
      </c>
      <c r="AI13" s="95" t="n">
        <f aca="false">AJ13/$AI$2</f>
        <v>0.186453201970443</v>
      </c>
      <c r="AJ13" s="66" t="n">
        <f aca="false">SUM(T13:AH13)</f>
        <v>3065.85</v>
      </c>
    </row>
    <row r="14" customFormat="false" ht="15" hidden="false" customHeight="false" outlineLevel="0" collapsed="false">
      <c r="A14" s="52" t="n">
        <v>11</v>
      </c>
      <c r="B14" s="53" t="s">
        <v>64</v>
      </c>
      <c r="C14" s="54" t="s">
        <v>65</v>
      </c>
      <c r="D14" s="55" t="n">
        <f aca="false">VLOOKUP(C14,'[1]PREÇO ATUAL'!$A$1:$D$1048576,4,0)</f>
        <v>342</v>
      </c>
      <c r="E14" s="69" t="n">
        <v>0.9</v>
      </c>
      <c r="F14" s="69" t="n">
        <v>1.15</v>
      </c>
      <c r="G14" s="69" t="n">
        <v>2.05</v>
      </c>
      <c r="H14" s="69" t="n">
        <v>1.35</v>
      </c>
      <c r="I14" s="55" t="n">
        <v>1.5</v>
      </c>
      <c r="J14" s="55" t="n">
        <v>4.35</v>
      </c>
      <c r="K14" s="55" t="n">
        <v>0.9</v>
      </c>
      <c r="L14" s="55" t="n">
        <v>1.35</v>
      </c>
      <c r="M14" s="55" t="n">
        <v>2.05</v>
      </c>
      <c r="N14" s="55" t="n">
        <v>1.3</v>
      </c>
      <c r="O14" s="55" t="n">
        <v>1.35</v>
      </c>
      <c r="P14" s="55" t="n">
        <v>4.85</v>
      </c>
      <c r="Q14" s="55" t="n">
        <v>0.9</v>
      </c>
      <c r="R14" s="55" t="n">
        <v>1.15</v>
      </c>
      <c r="S14" s="55" t="n">
        <v>2.2</v>
      </c>
      <c r="T14" s="58" t="n">
        <f aca="false">D14*E14</f>
        <v>307.8</v>
      </c>
      <c r="U14" s="58" t="n">
        <f aca="false">$D14*F14</f>
        <v>393.3</v>
      </c>
      <c r="V14" s="58" t="n">
        <f aca="false">$D14*G14</f>
        <v>701.1</v>
      </c>
      <c r="W14" s="58" t="n">
        <f aca="false">$D14*H14</f>
        <v>461.7</v>
      </c>
      <c r="X14" s="58" t="n">
        <f aca="false">$D14*I14</f>
        <v>513</v>
      </c>
      <c r="Y14" s="58" t="n">
        <f aca="false">$D14*J14</f>
        <v>1487.7</v>
      </c>
      <c r="Z14" s="58" t="n">
        <f aca="false">$D14*K14</f>
        <v>307.8</v>
      </c>
      <c r="AA14" s="58" t="n">
        <f aca="false">$D14*L14</f>
        <v>461.7</v>
      </c>
      <c r="AB14" s="58" t="n">
        <f aca="false">$D14*M14</f>
        <v>701.1</v>
      </c>
      <c r="AC14" s="58" t="n">
        <f aca="false">$D14*N14</f>
        <v>444.6</v>
      </c>
      <c r="AD14" s="58" t="n">
        <f aca="false">$D14*O14</f>
        <v>461.7</v>
      </c>
      <c r="AE14" s="58" t="n">
        <f aca="false">$D14*P14</f>
        <v>1658.7</v>
      </c>
      <c r="AF14" s="58" t="n">
        <f aca="false">$D14*Q14</f>
        <v>307.8</v>
      </c>
      <c r="AG14" s="58" t="n">
        <f aca="false">$D14*R14</f>
        <v>393.3</v>
      </c>
      <c r="AH14" s="58" t="n">
        <f aca="false">$D14*S14</f>
        <v>752.4</v>
      </c>
      <c r="AI14" s="94" t="n">
        <f aca="false">AJ14/$AI$2</f>
        <v>0.568856048166393</v>
      </c>
      <c r="AJ14" s="58" t="n">
        <f aca="false">SUM(T14:AH14)</f>
        <v>9353.7</v>
      </c>
    </row>
    <row r="15" customFormat="false" ht="15" hidden="false" customHeight="true" outlineLevel="0" collapsed="false">
      <c r="H15" s="149"/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</sheetData>
  <mergeCells count="5">
    <mergeCell ref="A1:D2"/>
    <mergeCell ref="E1:S1"/>
    <mergeCell ref="T1:AH1"/>
    <mergeCell ref="AI1:AJ1"/>
    <mergeCell ref="AI2:AJ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J9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C4" activeCellId="0" sqref="C4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46.29"/>
    <col collapsed="false" customWidth="true" hidden="false" outlineLevel="0" max="3" min="3" style="0" width="16.87"/>
    <col collapsed="false" customWidth="true" hidden="false" outlineLevel="0" max="4" min="4" style="0" width="8.71"/>
    <col collapsed="false" customWidth="true" hidden="false" outlineLevel="0" max="11" min="5" style="0" width="5.14"/>
    <col collapsed="false" customWidth="true" hidden="false" outlineLevel="0" max="13" min="12" style="0" width="5.43"/>
    <col collapsed="false" customWidth="true" hidden="false" outlineLevel="0" max="19" min="14" style="0" width="5.57"/>
    <col collapsed="false" customWidth="true" hidden="false" outlineLevel="0" max="22" min="20" style="0" width="15"/>
    <col collapsed="false" customWidth="true" hidden="false" outlineLevel="0" max="23" min="23" style="0" width="17.13"/>
    <col collapsed="false" customWidth="true" hidden="false" outlineLevel="0" max="24" min="24" style="0" width="15"/>
    <col collapsed="false" customWidth="true" hidden="false" outlineLevel="0" max="25" min="25" style="0" width="17.13"/>
    <col collapsed="false" customWidth="true" hidden="false" outlineLevel="0" max="26" min="26" style="0" width="15"/>
    <col collapsed="false" customWidth="true" hidden="false" outlineLevel="0" max="27" min="27" style="0" width="17.13"/>
    <col collapsed="false" customWidth="true" hidden="false" outlineLevel="0" max="30" min="28" style="0" width="15"/>
    <col collapsed="false" customWidth="true" hidden="false" outlineLevel="0" max="31" min="31" style="0" width="15.71"/>
    <col collapsed="false" customWidth="true" hidden="false" outlineLevel="0" max="34" min="32" style="0" width="15"/>
    <col collapsed="false" customWidth="true" hidden="false" outlineLevel="0" max="35" min="35" style="0" width="8.41"/>
    <col collapsed="false" customWidth="true" hidden="false" outlineLevel="0" max="36" min="36" style="0" width="15.57"/>
  </cols>
  <sheetData>
    <row r="1" customFormat="false" ht="15.75" hidden="false" customHeight="true" outlineLevel="0" collapsed="false">
      <c r="A1" s="89" t="s">
        <v>171</v>
      </c>
      <c r="B1" s="89"/>
      <c r="C1" s="89"/>
      <c r="D1" s="89"/>
      <c r="E1" s="35" t="s">
        <v>29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6" t="s">
        <v>30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 t="s">
        <v>31</v>
      </c>
      <c r="AJ1" s="37"/>
    </row>
    <row r="2" customFormat="false" ht="15" hidden="false" customHeight="true" outlineLevel="0" collapsed="false">
      <c r="A2" s="89"/>
      <c r="B2" s="89"/>
      <c r="C2" s="89"/>
      <c r="D2" s="89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43" t="n">
        <f aca="false">MROUND(SUM(T4:T12),1)</f>
        <v>667</v>
      </c>
      <c r="U2" s="43" t="n">
        <f aca="false">MROUND(SUM(U4:U12),1)</f>
        <v>788</v>
      </c>
      <c r="V2" s="43" t="n">
        <f aca="false">MROUND(SUM(V4:V12),1)</f>
        <v>701</v>
      </c>
      <c r="W2" s="43" t="n">
        <f aca="false">MROUND(SUM(W4:W12),1)</f>
        <v>1419</v>
      </c>
      <c r="X2" s="43" t="n">
        <f aca="false">MROUND(SUM(X4:X12),1)</f>
        <v>718</v>
      </c>
      <c r="Y2" s="43" t="n">
        <f aca="false">MROUND(SUM(Y4:Y12),1)</f>
        <v>1171</v>
      </c>
      <c r="Z2" s="43" t="n">
        <f aca="false">MROUND(SUM(Z4:Z12),1)</f>
        <v>667</v>
      </c>
      <c r="AA2" s="43" t="n">
        <f aca="false">MROUND(SUM(AA4:AA12),1)</f>
        <v>1419</v>
      </c>
      <c r="AB2" s="43" t="n">
        <f aca="false">MROUND(SUM(AB4:AB12),1)</f>
        <v>701</v>
      </c>
      <c r="AC2" s="43" t="n">
        <f aca="false">MROUND(SUM(AC4:AC12),1)</f>
        <v>840</v>
      </c>
      <c r="AD2" s="43" t="n">
        <f aca="false">MROUND(SUM(AD4:AD12),1)</f>
        <v>667</v>
      </c>
      <c r="AE2" s="43" t="n">
        <f aca="false">MROUND(SUM(AE4:AE12),1)</f>
        <v>2219</v>
      </c>
      <c r="AF2" s="43" t="n">
        <f aca="false">MROUND(SUM(AF4:AF12),1)</f>
        <v>667</v>
      </c>
      <c r="AG2" s="43" t="n">
        <f aca="false">MROUND(SUM(AG4:AG12),1)</f>
        <v>788</v>
      </c>
      <c r="AH2" s="43" t="n">
        <f aca="false">MROUND(SUM(AH4:AH12),1)</f>
        <v>752</v>
      </c>
      <c r="AI2" s="44" t="n">
        <f aca="false">SUM(T2:AH2)</f>
        <v>14184</v>
      </c>
      <c r="AJ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s">
        <v>142</v>
      </c>
      <c r="P3" s="48" t="s">
        <v>143</v>
      </c>
      <c r="Q3" s="48" t="s">
        <v>144</v>
      </c>
      <c r="R3" s="48" t="s">
        <v>145</v>
      </c>
      <c r="S3" s="48" t="s">
        <v>146</v>
      </c>
      <c r="T3" s="48" t="n">
        <v>10000</v>
      </c>
      <c r="U3" s="48" t="n">
        <v>20000</v>
      </c>
      <c r="V3" s="48" t="n">
        <v>30000</v>
      </c>
      <c r="W3" s="48" t="n">
        <v>40000</v>
      </c>
      <c r="X3" s="48" t="n">
        <v>50000</v>
      </c>
      <c r="Y3" s="48" t="n">
        <v>60000</v>
      </c>
      <c r="Z3" s="48" t="n">
        <v>70000</v>
      </c>
      <c r="AA3" s="48" t="n">
        <v>80000</v>
      </c>
      <c r="AB3" s="48" t="n">
        <v>90000</v>
      </c>
      <c r="AC3" s="48" t="n">
        <v>100000</v>
      </c>
      <c r="AD3" s="50" t="n">
        <f aca="false">AC3+10000</f>
        <v>110000</v>
      </c>
      <c r="AE3" s="50" t="n">
        <f aca="false">AD3+10000</f>
        <v>120000</v>
      </c>
      <c r="AF3" s="50" t="n">
        <f aca="false">AE3+10000</f>
        <v>130000</v>
      </c>
      <c r="AG3" s="50" t="n">
        <f aca="false">AF3+10000</f>
        <v>140000</v>
      </c>
      <c r="AH3" s="50" t="n">
        <f aca="false">AG3+10000</f>
        <v>150000</v>
      </c>
      <c r="AI3" s="51" t="s">
        <v>46</v>
      </c>
      <c r="AJ3" s="45" t="s">
        <v>47</v>
      </c>
    </row>
    <row r="4" customFormat="false" ht="15" hidden="false" customHeight="false" outlineLevel="0" collapsed="false">
      <c r="A4" s="52" t="n">
        <v>1</v>
      </c>
      <c r="B4" s="53" t="s">
        <v>48</v>
      </c>
      <c r="C4" s="54" t="s">
        <v>49</v>
      </c>
      <c r="D4" s="55" t="n">
        <f aca="false">VLOOKUP(C4,'[1]PREÇO ATUAL'!$A$1:$D$1048576,4,0)</f>
        <v>79.9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7" t="n">
        <v>1</v>
      </c>
      <c r="O4" s="57" t="n">
        <v>1</v>
      </c>
      <c r="P4" s="57" t="n">
        <v>1</v>
      </c>
      <c r="Q4" s="57" t="n">
        <v>1</v>
      </c>
      <c r="R4" s="57" t="n">
        <v>1</v>
      </c>
      <c r="S4" s="57" t="n">
        <v>1</v>
      </c>
      <c r="T4" s="58" t="n">
        <f aca="false">$D4*E4</f>
        <v>79.9</v>
      </c>
      <c r="U4" s="58" t="n">
        <f aca="false">$D4*F4</f>
        <v>79.9</v>
      </c>
      <c r="V4" s="58" t="n">
        <f aca="false">$D4*G4</f>
        <v>79.9</v>
      </c>
      <c r="W4" s="58" t="n">
        <f aca="false">$D4*H4</f>
        <v>79.9</v>
      </c>
      <c r="X4" s="58" t="n">
        <f aca="false">$D4*I4</f>
        <v>79.9</v>
      </c>
      <c r="Y4" s="58" t="n">
        <f aca="false">$D4*J4</f>
        <v>79.9</v>
      </c>
      <c r="Z4" s="58" t="n">
        <f aca="false">$D4*K4</f>
        <v>79.9</v>
      </c>
      <c r="AA4" s="58" t="n">
        <f aca="false">$D4*L4</f>
        <v>79.9</v>
      </c>
      <c r="AB4" s="58" t="n">
        <f aca="false">$D4*M4</f>
        <v>79.9</v>
      </c>
      <c r="AC4" s="58" t="n">
        <f aca="false">$D4*N4</f>
        <v>79.9</v>
      </c>
      <c r="AD4" s="58" t="n">
        <f aca="false">$D4*O4</f>
        <v>79.9</v>
      </c>
      <c r="AE4" s="58" t="n">
        <f aca="false">$D4*P4</f>
        <v>79.9</v>
      </c>
      <c r="AF4" s="58" t="n">
        <f aca="false">$D4*Q4</f>
        <v>79.9</v>
      </c>
      <c r="AG4" s="58" t="n">
        <f aca="false">$D4*R4</f>
        <v>79.9</v>
      </c>
      <c r="AH4" s="58" t="n">
        <f aca="false">$D4*S4</f>
        <v>79.9</v>
      </c>
      <c r="AI4" s="59" t="n">
        <f aca="false">AJ4/$AI$2</f>
        <v>0.0844966159052454</v>
      </c>
      <c r="AJ4" s="58" t="n">
        <f aca="false">SUM(T4:AH4)</f>
        <v>1198.5</v>
      </c>
    </row>
    <row r="5" customFormat="false" ht="15" hidden="false" customHeight="false" outlineLevel="0" collapsed="false">
      <c r="A5" s="60" t="n">
        <v>2</v>
      </c>
      <c r="B5" s="61" t="s">
        <v>50</v>
      </c>
      <c r="C5" s="62" t="s">
        <v>51</v>
      </c>
      <c r="D5" s="63" t="n">
        <f aca="false">VLOOKUP(C5,'[1]PREÇO ATUAL'!$A$1:$D$1048576,4,0)</f>
        <v>35.9</v>
      </c>
      <c r="E5" s="64"/>
      <c r="F5" s="64" t="n">
        <v>1</v>
      </c>
      <c r="G5" s="64"/>
      <c r="H5" s="64" t="n">
        <v>1</v>
      </c>
      <c r="I5" s="65"/>
      <c r="J5" s="65" t="n">
        <v>1</v>
      </c>
      <c r="K5" s="65"/>
      <c r="L5" s="65" t="n">
        <v>1</v>
      </c>
      <c r="M5" s="65"/>
      <c r="N5" s="65" t="n">
        <v>1</v>
      </c>
      <c r="O5" s="65"/>
      <c r="P5" s="65" t="n">
        <v>1</v>
      </c>
      <c r="Q5" s="65"/>
      <c r="R5" s="65" t="n">
        <v>1</v>
      </c>
      <c r="S5" s="65"/>
      <c r="T5" s="66" t="n">
        <f aca="false">$D5*E5</f>
        <v>0</v>
      </c>
      <c r="U5" s="66" t="n">
        <f aca="false">$D5*F5</f>
        <v>35.9</v>
      </c>
      <c r="V5" s="66" t="n">
        <f aca="false">$D5*G5</f>
        <v>0</v>
      </c>
      <c r="W5" s="66" t="n">
        <f aca="false">$D5*H5</f>
        <v>35.9</v>
      </c>
      <c r="X5" s="66" t="n">
        <f aca="false">$D5*I5</f>
        <v>0</v>
      </c>
      <c r="Y5" s="66" t="n">
        <f aca="false">$D5*J5</f>
        <v>35.9</v>
      </c>
      <c r="Z5" s="66" t="n">
        <f aca="false">$D5*K5</f>
        <v>0</v>
      </c>
      <c r="AA5" s="66" t="n">
        <f aca="false">$D5*L5</f>
        <v>35.9</v>
      </c>
      <c r="AB5" s="66" t="n">
        <f aca="false">$D5*M5</f>
        <v>0</v>
      </c>
      <c r="AC5" s="66" t="n">
        <f aca="false">$D5*N5</f>
        <v>35.9</v>
      </c>
      <c r="AD5" s="66" t="n">
        <f aca="false">$D5*O5</f>
        <v>0</v>
      </c>
      <c r="AE5" s="66" t="n">
        <f aca="false">$D5*P5</f>
        <v>35.9</v>
      </c>
      <c r="AF5" s="66" t="n">
        <f aca="false">$D5*Q5</f>
        <v>0</v>
      </c>
      <c r="AG5" s="66" t="n">
        <f aca="false">$D5*R5</f>
        <v>35.9</v>
      </c>
      <c r="AH5" s="66" t="n">
        <f aca="false">$D5*S5</f>
        <v>0</v>
      </c>
      <c r="AI5" s="67" t="n">
        <f aca="false">AJ5/$AI$2</f>
        <v>0.0177171460800902</v>
      </c>
      <c r="AJ5" s="66" t="n">
        <f aca="false">SUM(T5:AH5)</f>
        <v>251.3</v>
      </c>
    </row>
    <row r="6" customFormat="false" ht="15" hidden="false" customHeight="false" outlineLevel="0" collapsed="false">
      <c r="A6" s="52" t="n">
        <v>3</v>
      </c>
      <c r="B6" s="53" t="s">
        <v>52</v>
      </c>
      <c r="C6" s="54" t="s">
        <v>53</v>
      </c>
      <c r="D6" s="55" t="n">
        <f aca="false">VLOOKUP(C6,'[1]PREÇO ATUAL'!$A$1:$D$1048576,4,0)</f>
        <v>89.9</v>
      </c>
      <c r="E6" s="56" t="n">
        <v>1</v>
      </c>
      <c r="F6" s="56" t="n">
        <v>1</v>
      </c>
      <c r="G6" s="56" t="n">
        <v>1</v>
      </c>
      <c r="H6" s="56" t="n">
        <v>1</v>
      </c>
      <c r="I6" s="57" t="n">
        <v>1</v>
      </c>
      <c r="J6" s="57" t="n">
        <v>1</v>
      </c>
      <c r="K6" s="57" t="n">
        <v>1</v>
      </c>
      <c r="L6" s="57" t="n">
        <v>1</v>
      </c>
      <c r="M6" s="57" t="n">
        <v>1</v>
      </c>
      <c r="N6" s="57" t="n">
        <v>1</v>
      </c>
      <c r="O6" s="57" t="n">
        <v>1</v>
      </c>
      <c r="P6" s="57" t="n">
        <v>1</v>
      </c>
      <c r="Q6" s="57" t="n">
        <v>1</v>
      </c>
      <c r="R6" s="57" t="n">
        <v>1</v>
      </c>
      <c r="S6" s="57" t="n">
        <v>1</v>
      </c>
      <c r="T6" s="58" t="n">
        <f aca="false">$D6*E6</f>
        <v>89.9</v>
      </c>
      <c r="U6" s="58" t="n">
        <f aca="false">$D6*F6</f>
        <v>89.9</v>
      </c>
      <c r="V6" s="58" t="n">
        <f aca="false">$D6*G6</f>
        <v>89.9</v>
      </c>
      <c r="W6" s="58" t="n">
        <f aca="false">$D6*H6</f>
        <v>89.9</v>
      </c>
      <c r="X6" s="58" t="n">
        <f aca="false">$D6*I6</f>
        <v>89.9</v>
      </c>
      <c r="Y6" s="58" t="n">
        <f aca="false">$D6*J6</f>
        <v>89.9</v>
      </c>
      <c r="Z6" s="58" t="n">
        <f aca="false">$D6*K6</f>
        <v>89.9</v>
      </c>
      <c r="AA6" s="58" t="n">
        <f aca="false">$D6*L6</f>
        <v>89.9</v>
      </c>
      <c r="AB6" s="58" t="n">
        <f aca="false">$D6*M6</f>
        <v>89.9</v>
      </c>
      <c r="AC6" s="58" t="n">
        <f aca="false">$D6*N6</f>
        <v>89.9</v>
      </c>
      <c r="AD6" s="58" t="n">
        <f aca="false">$D6*O6</f>
        <v>89.9</v>
      </c>
      <c r="AE6" s="58" t="n">
        <f aca="false">$D6*P6</f>
        <v>89.9</v>
      </c>
      <c r="AF6" s="58" t="n">
        <f aca="false">$D6*Q6</f>
        <v>89.9</v>
      </c>
      <c r="AG6" s="58" t="n">
        <f aca="false">$D6*R6</f>
        <v>89.9</v>
      </c>
      <c r="AH6" s="58" t="n">
        <f aca="false">$D6*S6</f>
        <v>89.9</v>
      </c>
      <c r="AI6" s="59" t="n">
        <f aca="false">AJ6/$AI$2</f>
        <v>0.0950719120135364</v>
      </c>
      <c r="AJ6" s="58" t="n">
        <f aca="false">SUM(T6:AH6)</f>
        <v>1348.5</v>
      </c>
    </row>
    <row r="7" customFormat="false" ht="15" hidden="false" customHeight="false" outlineLevel="0" collapsed="false">
      <c r="A7" s="60" t="n">
        <v>4</v>
      </c>
      <c r="B7" s="61" t="s">
        <v>54</v>
      </c>
      <c r="C7" s="62" t="s">
        <v>55</v>
      </c>
      <c r="D7" s="63" t="n">
        <f aca="false">VLOOKUP(C7,'[1]PREÇO ATUAL'!$A$1:$D$1048576,4,0)</f>
        <v>175.9</v>
      </c>
      <c r="E7" s="64"/>
      <c r="F7" s="64"/>
      <c r="G7" s="64"/>
      <c r="H7" s="64" t="n">
        <v>3</v>
      </c>
      <c r="I7" s="65"/>
      <c r="J7" s="65"/>
      <c r="K7" s="65"/>
      <c r="L7" s="65" t="n">
        <v>3</v>
      </c>
      <c r="M7" s="65"/>
      <c r="N7" s="65"/>
      <c r="O7" s="65"/>
      <c r="P7" s="65" t="n">
        <v>3</v>
      </c>
      <c r="Q7" s="65"/>
      <c r="R7" s="65"/>
      <c r="S7" s="65"/>
      <c r="T7" s="66" t="n">
        <f aca="false">$D7*E7</f>
        <v>0</v>
      </c>
      <c r="U7" s="66" t="n">
        <f aca="false">$D7*F7</f>
        <v>0</v>
      </c>
      <c r="V7" s="66" t="n">
        <f aca="false">$D7*G7</f>
        <v>0</v>
      </c>
      <c r="W7" s="66" t="n">
        <f aca="false">$D7*H7</f>
        <v>527.7</v>
      </c>
      <c r="X7" s="66" t="n">
        <f aca="false">$D7*I7</f>
        <v>0</v>
      </c>
      <c r="Y7" s="66" t="n">
        <f aca="false">$D7*J7</f>
        <v>0</v>
      </c>
      <c r="Z7" s="66" t="n">
        <f aca="false">$D7*K7</f>
        <v>0</v>
      </c>
      <c r="AA7" s="66" t="n">
        <f aca="false">$D7*L7</f>
        <v>527.7</v>
      </c>
      <c r="AB7" s="66" t="n">
        <f aca="false">$D7*M7</f>
        <v>0</v>
      </c>
      <c r="AC7" s="66" t="n">
        <f aca="false">$D7*N7</f>
        <v>0</v>
      </c>
      <c r="AD7" s="66" t="n">
        <f aca="false">$D7*O7</f>
        <v>0</v>
      </c>
      <c r="AE7" s="66" t="n">
        <f aca="false">$D7*P7</f>
        <v>527.7</v>
      </c>
      <c r="AF7" s="66" t="n">
        <f aca="false">$D7*Q7</f>
        <v>0</v>
      </c>
      <c r="AG7" s="66" t="n">
        <f aca="false">$D7*R7</f>
        <v>0</v>
      </c>
      <c r="AH7" s="66" t="n">
        <f aca="false">$D7*S7</f>
        <v>0</v>
      </c>
      <c r="AI7" s="67" t="n">
        <f aca="false">AJ7/$AI$2</f>
        <v>0.111611675126904</v>
      </c>
      <c r="AJ7" s="66" t="n">
        <f aca="false">SUM(T7:AH7)</f>
        <v>1583.1</v>
      </c>
    </row>
    <row r="8" customFormat="false" ht="15" hidden="false" customHeight="false" outlineLevel="0" collapsed="false">
      <c r="A8" s="52" t="n">
        <v>5</v>
      </c>
      <c r="B8" s="53" t="s">
        <v>56</v>
      </c>
      <c r="C8" s="54" t="s">
        <v>57</v>
      </c>
      <c r="D8" s="55" t="n">
        <f aca="false">VLOOKUP(C8,'[1]PREÇO ATUAL'!$A$1:$D$1048576,4,0)</f>
        <v>143.23</v>
      </c>
      <c r="E8" s="56"/>
      <c r="F8" s="56"/>
      <c r="G8" s="56"/>
      <c r="H8" s="56"/>
      <c r="I8" s="57"/>
      <c r="J8" s="57" t="n">
        <v>1</v>
      </c>
      <c r="K8" s="57"/>
      <c r="L8" s="57"/>
      <c r="M8" s="57"/>
      <c r="N8" s="57"/>
      <c r="O8" s="57"/>
      <c r="P8" s="57" t="n">
        <v>1</v>
      </c>
      <c r="Q8" s="57"/>
      <c r="R8" s="57"/>
      <c r="S8" s="57"/>
      <c r="T8" s="58" t="n">
        <f aca="false">$D8*E8</f>
        <v>0</v>
      </c>
      <c r="U8" s="58" t="n">
        <f aca="false">$D8*F8</f>
        <v>0</v>
      </c>
      <c r="V8" s="58" t="n">
        <f aca="false">$D8*G8</f>
        <v>0</v>
      </c>
      <c r="W8" s="58" t="n">
        <f aca="false">$D8*H8</f>
        <v>0</v>
      </c>
      <c r="X8" s="58" t="n">
        <f aca="false">$D8*I8</f>
        <v>0</v>
      </c>
      <c r="Y8" s="58" t="n">
        <f aca="false">$D8*J8</f>
        <v>143.23</v>
      </c>
      <c r="Z8" s="58" t="n">
        <f aca="false">$D8*K8</f>
        <v>0</v>
      </c>
      <c r="AA8" s="58" t="n">
        <f aca="false">$D8*L8</f>
        <v>0</v>
      </c>
      <c r="AB8" s="58" t="n">
        <f aca="false">$D8*M8</f>
        <v>0</v>
      </c>
      <c r="AC8" s="58" t="n">
        <f aca="false">$D8*N8</f>
        <v>0</v>
      </c>
      <c r="AD8" s="58" t="n">
        <f aca="false">$D8*O8</f>
        <v>0</v>
      </c>
      <c r="AE8" s="58" t="n">
        <f aca="false">$D8*P8</f>
        <v>143.23</v>
      </c>
      <c r="AF8" s="58" t="n">
        <f aca="false">$D8*Q8</f>
        <v>0</v>
      </c>
      <c r="AG8" s="58" t="n">
        <f aca="false">$D8*R8</f>
        <v>0</v>
      </c>
      <c r="AH8" s="58" t="n">
        <f aca="false">$D8*S8</f>
        <v>0</v>
      </c>
      <c r="AI8" s="59" t="n">
        <f aca="false">AJ8/$AI$2</f>
        <v>0.0201959954878737</v>
      </c>
      <c r="AJ8" s="58" t="n">
        <f aca="false">SUM(T8:AH8)</f>
        <v>286.46</v>
      </c>
    </row>
    <row r="9" customFormat="false" ht="15" hidden="false" customHeight="false" outlineLevel="0" collapsed="false">
      <c r="A9" s="60" t="n">
        <v>6</v>
      </c>
      <c r="B9" s="61" t="s">
        <v>58</v>
      </c>
      <c r="C9" s="62" t="s">
        <v>59</v>
      </c>
      <c r="D9" s="63" t="n">
        <f aca="false">VLOOKUP(C9,'[1]PREÇO ATUAL'!$A$1:$D$1048576,4,0)</f>
        <v>165.97812</v>
      </c>
      <c r="E9" s="64"/>
      <c r="F9" s="64"/>
      <c r="G9" s="64"/>
      <c r="H9" s="64"/>
      <c r="I9" s="65"/>
      <c r="J9" s="65"/>
      <c r="K9" s="65"/>
      <c r="L9" s="65"/>
      <c r="M9" s="65"/>
      <c r="N9" s="65"/>
      <c r="O9" s="65"/>
      <c r="P9" s="65" t="n">
        <v>2</v>
      </c>
      <c r="Q9" s="65"/>
      <c r="R9" s="65"/>
      <c r="S9" s="65"/>
      <c r="T9" s="66" t="n">
        <f aca="false">$D9*E9</f>
        <v>0</v>
      </c>
      <c r="U9" s="66" t="n">
        <f aca="false">$D9*F9</f>
        <v>0</v>
      </c>
      <c r="V9" s="66" t="n">
        <f aca="false">$D9*G9</f>
        <v>0</v>
      </c>
      <c r="W9" s="66" t="n">
        <f aca="false">$D9*H9</f>
        <v>0</v>
      </c>
      <c r="X9" s="66" t="n">
        <f aca="false">$D9*I9</f>
        <v>0</v>
      </c>
      <c r="Y9" s="66" t="n">
        <f aca="false">$D9*J9</f>
        <v>0</v>
      </c>
      <c r="Z9" s="66" t="n">
        <f aca="false">$D9*K9</f>
        <v>0</v>
      </c>
      <c r="AA9" s="66" t="n">
        <f aca="false">$D9*L9</f>
        <v>0</v>
      </c>
      <c r="AB9" s="66" t="n">
        <f aca="false">$D9*M9</f>
        <v>0</v>
      </c>
      <c r="AC9" s="66" t="n">
        <f aca="false">$D9*N9</f>
        <v>0</v>
      </c>
      <c r="AD9" s="66" t="n">
        <f aca="false">$D9*O9</f>
        <v>0</v>
      </c>
      <c r="AE9" s="66" t="n">
        <f aca="false">$D9*P9</f>
        <v>331.95624</v>
      </c>
      <c r="AF9" s="66" t="n">
        <f aca="false">$D9*Q9</f>
        <v>0</v>
      </c>
      <c r="AG9" s="66" t="n">
        <f aca="false">$D9*R9</f>
        <v>0</v>
      </c>
      <c r="AH9" s="66" t="n">
        <f aca="false">$D9*S9</f>
        <v>0</v>
      </c>
      <c r="AI9" s="67"/>
      <c r="AJ9" s="66" t="n">
        <f aca="false">SUM(T9:AH9)</f>
        <v>331.95624</v>
      </c>
    </row>
    <row r="10" customFormat="false" ht="15" hidden="false" customHeight="false" outlineLevel="0" collapsed="false">
      <c r="A10" s="52" t="n">
        <v>7</v>
      </c>
      <c r="B10" s="53" t="s">
        <v>60</v>
      </c>
      <c r="C10" s="54" t="s">
        <v>61</v>
      </c>
      <c r="D10" s="55" t="n">
        <f aca="false">VLOOKUP(C10,'[1]PREÇO ATUAL'!$A$1:$D$1048576,4,0)</f>
        <v>33.6224930838505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58" t="n">
        <f aca="false">$D10*E10</f>
        <v>0</v>
      </c>
      <c r="U10" s="58" t="n">
        <f aca="false">$D10*F10</f>
        <v>0</v>
      </c>
      <c r="V10" s="58" t="n">
        <f aca="false">$D10*G10</f>
        <v>0</v>
      </c>
      <c r="W10" s="58" t="n">
        <f aca="false">$D10*H10</f>
        <v>0</v>
      </c>
      <c r="X10" s="58" t="n">
        <f aca="false">$D10*I10</f>
        <v>0</v>
      </c>
      <c r="Y10" s="58" t="n">
        <f aca="false">$D10*J10</f>
        <v>0</v>
      </c>
      <c r="Z10" s="58" t="n">
        <f aca="false">$D10*K10</f>
        <v>0</v>
      </c>
      <c r="AA10" s="58" t="n">
        <f aca="false">$D10*L10</f>
        <v>0</v>
      </c>
      <c r="AB10" s="58" t="n">
        <f aca="false">$D10*M10</f>
        <v>0</v>
      </c>
      <c r="AC10" s="58" t="n">
        <f aca="false">$D10*N10</f>
        <v>0</v>
      </c>
      <c r="AD10" s="58" t="n">
        <f aca="false">$D10*O10</f>
        <v>0</v>
      </c>
      <c r="AE10" s="58" t="n">
        <f aca="false">$D10*P10</f>
        <v>0</v>
      </c>
      <c r="AF10" s="58" t="n">
        <f aca="false">$D10*Q10</f>
        <v>0</v>
      </c>
      <c r="AG10" s="58" t="n">
        <f aca="false">$D10*R10</f>
        <v>0</v>
      </c>
      <c r="AH10" s="58" t="n">
        <f aca="false">$D10*S10</f>
        <v>0</v>
      </c>
      <c r="AI10" s="59" t="n">
        <f aca="false">AJ10/$AI$2</f>
        <v>0</v>
      </c>
      <c r="AJ10" s="58" t="n">
        <f aca="false">SUM(T10:AH10)</f>
        <v>0</v>
      </c>
    </row>
    <row r="11" customFormat="false" ht="15" hidden="false" customHeight="false" outlineLevel="0" collapsed="false">
      <c r="A11" s="60" t="n">
        <v>8</v>
      </c>
      <c r="B11" s="61" t="s">
        <v>62</v>
      </c>
      <c r="C11" s="62" t="s">
        <v>63</v>
      </c>
      <c r="D11" s="63" t="n">
        <f aca="false">VLOOKUP(C11,'[1]PREÇO ATUAL'!$A$1:$D$1048576,4,0)</f>
        <v>81.26</v>
      </c>
      <c r="E11" s="70" t="n">
        <v>2.54</v>
      </c>
      <c r="F11" s="70" t="n">
        <v>2.54</v>
      </c>
      <c r="G11" s="70" t="n">
        <v>2.54</v>
      </c>
      <c r="H11" s="70" t="n">
        <v>2.54</v>
      </c>
      <c r="I11" s="63" t="n">
        <v>2.54</v>
      </c>
      <c r="J11" s="63" t="n">
        <v>2.54</v>
      </c>
      <c r="K11" s="63" t="n">
        <v>2.54</v>
      </c>
      <c r="L11" s="63" t="n">
        <v>2.54</v>
      </c>
      <c r="M11" s="63" t="n">
        <v>2.54</v>
      </c>
      <c r="N11" s="63" t="n">
        <v>2.54</v>
      </c>
      <c r="O11" s="63" t="n">
        <v>2.54</v>
      </c>
      <c r="P11" s="63" t="n">
        <v>2.54</v>
      </c>
      <c r="Q11" s="63" t="n">
        <v>2.54</v>
      </c>
      <c r="R11" s="63" t="n">
        <v>2.54</v>
      </c>
      <c r="S11" s="63" t="n">
        <v>2.54</v>
      </c>
      <c r="T11" s="66" t="n">
        <f aca="false">$D11*E11</f>
        <v>206.4004</v>
      </c>
      <c r="U11" s="66" t="n">
        <f aca="false">$D11*F11</f>
        <v>206.4004</v>
      </c>
      <c r="V11" s="66" t="n">
        <f aca="false">$D11*G11</f>
        <v>206.4004</v>
      </c>
      <c r="W11" s="66" t="n">
        <f aca="false">$D11*H11</f>
        <v>206.4004</v>
      </c>
      <c r="X11" s="66" t="n">
        <f aca="false">$D11*I11</f>
        <v>206.4004</v>
      </c>
      <c r="Y11" s="66" t="n">
        <f aca="false">$D11*J11</f>
        <v>206.4004</v>
      </c>
      <c r="Z11" s="66" t="n">
        <f aca="false">$D11*K11</f>
        <v>206.4004</v>
      </c>
      <c r="AA11" s="66" t="n">
        <f aca="false">$D11*L11</f>
        <v>206.4004</v>
      </c>
      <c r="AB11" s="66" t="n">
        <f aca="false">$D11*M11</f>
        <v>206.4004</v>
      </c>
      <c r="AC11" s="66" t="n">
        <f aca="false">$D11*N11</f>
        <v>206.4004</v>
      </c>
      <c r="AD11" s="66" t="n">
        <f aca="false">$D11*O11</f>
        <v>206.4004</v>
      </c>
      <c r="AE11" s="66" t="n">
        <f aca="false">$D11*P11</f>
        <v>206.4004</v>
      </c>
      <c r="AF11" s="66" t="n">
        <f aca="false">$D11*Q11</f>
        <v>206.4004</v>
      </c>
      <c r="AG11" s="66" t="n">
        <f aca="false">$D11*R11</f>
        <v>206.4004</v>
      </c>
      <c r="AH11" s="66" t="n">
        <f aca="false">$D11*S11</f>
        <v>206.4004</v>
      </c>
      <c r="AI11" s="67" t="n">
        <f aca="false">AJ11/$AI$2</f>
        <v>0.218274534686971</v>
      </c>
      <c r="AJ11" s="66" t="n">
        <f aca="false">SUM(T11:AH11)</f>
        <v>3096.006</v>
      </c>
    </row>
    <row r="12" customFormat="false" ht="15" hidden="false" customHeight="false" outlineLevel="0" collapsed="false">
      <c r="A12" s="52" t="n">
        <v>9</v>
      </c>
      <c r="B12" s="53" t="s">
        <v>64</v>
      </c>
      <c r="C12" s="54" t="s">
        <v>65</v>
      </c>
      <c r="D12" s="55" t="n">
        <f aca="false">VLOOKUP(C12,'[1]PREÇO ATUAL'!$A$1:$D$1048576,4,0)</f>
        <v>342</v>
      </c>
      <c r="E12" s="69" t="n">
        <v>0.85</v>
      </c>
      <c r="F12" s="69" t="n">
        <v>1.1</v>
      </c>
      <c r="G12" s="69" t="n">
        <v>0.95</v>
      </c>
      <c r="H12" s="69" t="n">
        <v>1.4</v>
      </c>
      <c r="I12" s="69" t="n">
        <v>1</v>
      </c>
      <c r="J12" s="69" t="n">
        <v>1.8</v>
      </c>
      <c r="K12" s="69" t="n">
        <v>0.85</v>
      </c>
      <c r="L12" s="69" t="n">
        <v>1.4</v>
      </c>
      <c r="M12" s="69" t="n">
        <v>0.95</v>
      </c>
      <c r="N12" s="69" t="n">
        <v>1.25</v>
      </c>
      <c r="O12" s="69" t="n">
        <v>0.85</v>
      </c>
      <c r="P12" s="69" t="n">
        <v>2.35</v>
      </c>
      <c r="Q12" s="69" t="n">
        <v>0.85</v>
      </c>
      <c r="R12" s="69" t="n">
        <v>1.1</v>
      </c>
      <c r="S12" s="69" t="n">
        <v>1.1</v>
      </c>
      <c r="T12" s="58" t="n">
        <f aca="false">$D12*E12</f>
        <v>290.7</v>
      </c>
      <c r="U12" s="58" t="n">
        <f aca="false">$D12*F12</f>
        <v>376.2</v>
      </c>
      <c r="V12" s="58" t="n">
        <f aca="false">$D12*G12</f>
        <v>324.9</v>
      </c>
      <c r="W12" s="58" t="n">
        <f aca="false">$D12*H12</f>
        <v>478.8</v>
      </c>
      <c r="X12" s="58" t="n">
        <f aca="false">$D12*I12</f>
        <v>342</v>
      </c>
      <c r="Y12" s="58" t="n">
        <f aca="false">$D12*J12</f>
        <v>615.6</v>
      </c>
      <c r="Z12" s="58" t="n">
        <f aca="false">$D12*K12</f>
        <v>290.7</v>
      </c>
      <c r="AA12" s="58" t="n">
        <f aca="false">$D12*L12</f>
        <v>478.8</v>
      </c>
      <c r="AB12" s="58" t="n">
        <f aca="false">$D12*M12</f>
        <v>324.9</v>
      </c>
      <c r="AC12" s="58" t="n">
        <f aca="false">$D12*N12</f>
        <v>427.5</v>
      </c>
      <c r="AD12" s="58" t="n">
        <f aca="false">$D12*O12</f>
        <v>290.7</v>
      </c>
      <c r="AE12" s="58" t="n">
        <f aca="false">$D12*P12</f>
        <v>803.7</v>
      </c>
      <c r="AF12" s="58" t="n">
        <f aca="false">$D12*Q12</f>
        <v>290.7</v>
      </c>
      <c r="AG12" s="58" t="n">
        <f aca="false">$D12*R12</f>
        <v>376.2</v>
      </c>
      <c r="AH12" s="58" t="n">
        <f aca="false">$D12*S12</f>
        <v>376.2</v>
      </c>
      <c r="AI12" s="59" t="n">
        <f aca="false">AJ12/$AI$2</f>
        <v>0.429187817258883</v>
      </c>
      <c r="AJ12" s="58" t="n">
        <f aca="false">SUM(T12:AH12)</f>
        <v>6087.6</v>
      </c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</sheetData>
  <mergeCells count="5">
    <mergeCell ref="A1:D2"/>
    <mergeCell ref="E1:S1"/>
    <mergeCell ref="T1:AH1"/>
    <mergeCell ref="AI1:AJ1"/>
    <mergeCell ref="AI2:AJ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Z9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C4" activeCellId="0" sqref="C4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44.85"/>
    <col collapsed="false" customWidth="true" hidden="false" outlineLevel="0" max="3" min="3" style="0" width="16.87"/>
    <col collapsed="false" customWidth="true" hidden="false" outlineLevel="0" max="4" min="4" style="0" width="7.87"/>
    <col collapsed="false" customWidth="true" hidden="false" outlineLevel="0" max="5" min="5" style="0" width="6.15"/>
    <col collapsed="false" customWidth="true" hidden="false" outlineLevel="0" max="14" min="6" style="0" width="5.43"/>
    <col collapsed="false" customWidth="true" hidden="false" outlineLevel="0" max="16" min="15" style="0" width="14.57"/>
    <col collapsed="false" customWidth="true" hidden="false" outlineLevel="0" max="18" min="17" style="0" width="15.71"/>
    <col collapsed="false" customWidth="true" hidden="false" outlineLevel="0" max="19" min="19" style="0" width="14.57"/>
    <col collapsed="false" customWidth="true" hidden="false" outlineLevel="0" max="20" min="20" style="0" width="16.87"/>
    <col collapsed="false" customWidth="true" hidden="false" outlineLevel="0" max="21" min="21" style="0" width="14.57"/>
    <col collapsed="false" customWidth="true" hidden="false" outlineLevel="0" max="23" min="22" style="0" width="15.71"/>
    <col collapsed="false" customWidth="true" hidden="false" outlineLevel="0" max="24" min="24" style="0" width="14.57"/>
    <col collapsed="false" customWidth="true" hidden="false" outlineLevel="0" max="25" min="25" style="0" width="8.41"/>
    <col collapsed="false" customWidth="true" hidden="false" outlineLevel="0" max="26" min="26" style="0" width="15.57"/>
    <col collapsed="false" customWidth="true" hidden="false" outlineLevel="0" max="27" min="27" style="0" width="11.71"/>
    <col collapsed="false" customWidth="true" hidden="false" outlineLevel="0" max="28" min="28" style="0" width="9.13"/>
    <col collapsed="false" customWidth="true" hidden="false" outlineLevel="0" max="29" min="29" style="0" width="11.42"/>
    <col collapsed="false" customWidth="true" hidden="false" outlineLevel="0" max="32" min="30" style="0" width="9.13"/>
  </cols>
  <sheetData>
    <row r="1" customFormat="false" ht="15" hidden="false" customHeight="false" outlineLevel="0" collapsed="false">
      <c r="A1" s="74" t="s">
        <v>172</v>
      </c>
      <c r="B1" s="74"/>
      <c r="C1" s="74"/>
      <c r="D1" s="74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77" t="s">
        <v>30</v>
      </c>
      <c r="P1" s="77"/>
      <c r="Q1" s="77"/>
      <c r="R1" s="77"/>
      <c r="S1" s="77"/>
      <c r="T1" s="77"/>
      <c r="U1" s="77"/>
      <c r="V1" s="77"/>
      <c r="W1" s="77"/>
      <c r="X1" s="77"/>
      <c r="Y1" s="37" t="s">
        <v>31</v>
      </c>
      <c r="Z1" s="37"/>
    </row>
    <row r="2" customFormat="false" ht="15" hidden="false" customHeight="false" outlineLevel="0" collapsed="false">
      <c r="A2" s="74"/>
      <c r="B2" s="74"/>
      <c r="C2" s="74"/>
      <c r="D2" s="74"/>
      <c r="E2" s="86"/>
      <c r="F2" s="86"/>
      <c r="G2" s="86"/>
      <c r="H2" s="86"/>
      <c r="I2" s="86"/>
      <c r="J2" s="86"/>
      <c r="K2" s="86"/>
      <c r="L2" s="86"/>
      <c r="M2" s="86"/>
      <c r="N2" s="86"/>
      <c r="O2" s="43" t="n">
        <f aca="false">MROUND(SUM(O4:O11),1)</f>
        <v>367</v>
      </c>
      <c r="P2" s="43" t="n">
        <f aca="false">MROUND(SUM(P4:P11),1)</f>
        <v>989</v>
      </c>
      <c r="Q2" s="43" t="n">
        <f aca="false">MROUND(SUM(Q4:Q11),1)</f>
        <v>1080</v>
      </c>
      <c r="R2" s="43" t="n">
        <f aca="false">MROUND(SUM(R4:R11),1)</f>
        <v>1075</v>
      </c>
      <c r="S2" s="43" t="n">
        <f aca="false">MROUND(SUM(S4:S11),1)</f>
        <v>829</v>
      </c>
      <c r="T2" s="43" t="n">
        <f aca="false">MROUND(SUM(T4:T11),1)</f>
        <v>1847</v>
      </c>
      <c r="U2" s="43" t="n">
        <f aca="false">MROUND(SUM(U4:U11),1)</f>
        <v>794</v>
      </c>
      <c r="V2" s="43" t="n">
        <f aca="false">MROUND(SUM(V4:V11),1)</f>
        <v>1075</v>
      </c>
      <c r="W2" s="43" t="n">
        <f aca="false">MROUND(SUM(W4:W11),1)</f>
        <v>1080</v>
      </c>
      <c r="X2" s="43" t="n">
        <f aca="false">MROUND(SUM(X4:X11),1)</f>
        <v>1041</v>
      </c>
      <c r="Y2" s="44" t="n">
        <f aca="false">SUM(O2:X2)</f>
        <v>10177</v>
      </c>
      <c r="Z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n">
        <v>10000</v>
      </c>
      <c r="P3" s="48" t="n">
        <v>20000</v>
      </c>
      <c r="Q3" s="48" t="n">
        <v>30000</v>
      </c>
      <c r="R3" s="48" t="n">
        <v>40000</v>
      </c>
      <c r="S3" s="48" t="n">
        <v>50000</v>
      </c>
      <c r="T3" s="48" t="n">
        <v>60000</v>
      </c>
      <c r="U3" s="48" t="n">
        <v>70000</v>
      </c>
      <c r="V3" s="48" t="n">
        <v>80000</v>
      </c>
      <c r="W3" s="48" t="n">
        <v>90000</v>
      </c>
      <c r="X3" s="48" t="n">
        <v>100000</v>
      </c>
      <c r="Y3" s="51" t="s">
        <v>46</v>
      </c>
      <c r="Z3" s="45" t="s">
        <v>47</v>
      </c>
    </row>
    <row r="4" customFormat="false" ht="15" hidden="false" customHeight="false" outlineLevel="0" collapsed="false">
      <c r="A4" s="52" t="n">
        <v>1</v>
      </c>
      <c r="B4" s="53" t="s">
        <v>92</v>
      </c>
      <c r="C4" s="54" t="s">
        <v>111</v>
      </c>
      <c r="D4" s="55" t="n">
        <f aca="false">VLOOKUP(C4,'[1]PREÇO ATUAL'!$A$1:$D$1048576,4,0)</f>
        <v>49.9</v>
      </c>
      <c r="E4" s="150"/>
      <c r="F4" s="56"/>
      <c r="G4" s="56" t="n">
        <v>4</v>
      </c>
      <c r="H4" s="56"/>
      <c r="I4" s="57"/>
      <c r="J4" s="57" t="n">
        <v>4</v>
      </c>
      <c r="K4" s="57"/>
      <c r="L4" s="57"/>
      <c r="M4" s="57" t="n">
        <v>4</v>
      </c>
      <c r="N4" s="57"/>
      <c r="O4" s="151" t="n">
        <f aca="false">$D4*E4</f>
        <v>0</v>
      </c>
      <c r="P4" s="58" t="n">
        <f aca="false">$D4*F4</f>
        <v>0</v>
      </c>
      <c r="Q4" s="58" t="n">
        <f aca="false">$D4*G4</f>
        <v>199.6</v>
      </c>
      <c r="R4" s="58" t="n">
        <f aca="false">$D4*H4</f>
        <v>0</v>
      </c>
      <c r="S4" s="58" t="n">
        <f aca="false">$D4*I4</f>
        <v>0</v>
      </c>
      <c r="T4" s="58" t="n">
        <f aca="false">$D4*J4</f>
        <v>199.6</v>
      </c>
      <c r="U4" s="58" t="n">
        <f aca="false">$D4*K4</f>
        <v>0</v>
      </c>
      <c r="V4" s="58" t="n">
        <f aca="false">$D4*L4</f>
        <v>0</v>
      </c>
      <c r="W4" s="58" t="n">
        <f aca="false">$D4*M4</f>
        <v>199.6</v>
      </c>
      <c r="X4" s="58" t="n">
        <f aca="false">$D4*N4</f>
        <v>0</v>
      </c>
      <c r="Y4" s="94" t="n">
        <f aca="false">Z4/$Y$2</f>
        <v>0.0588385575316891</v>
      </c>
      <c r="Z4" s="58" t="n">
        <f aca="false">SUM(O4:X4)</f>
        <v>598.8</v>
      </c>
    </row>
    <row r="5" customFormat="false" ht="15" hidden="false" customHeight="false" outlineLevel="0" collapsed="false">
      <c r="A5" s="60" t="n">
        <v>2</v>
      </c>
      <c r="B5" s="61" t="s">
        <v>96</v>
      </c>
      <c r="C5" s="62" t="s">
        <v>82</v>
      </c>
      <c r="D5" s="63" t="n">
        <f aca="false">VLOOKUP(C5,'[1]PREÇO ATUAL'!$A$1:$D$1048576,4,0)</f>
        <v>41.43</v>
      </c>
      <c r="E5" s="152" t="n">
        <v>1</v>
      </c>
      <c r="F5" s="64" t="n">
        <v>1</v>
      </c>
      <c r="G5" s="64" t="n">
        <v>1</v>
      </c>
      <c r="H5" s="64" t="n">
        <v>1</v>
      </c>
      <c r="I5" s="65" t="n">
        <v>1</v>
      </c>
      <c r="J5" s="65" t="n">
        <v>1</v>
      </c>
      <c r="K5" s="65" t="n">
        <v>1</v>
      </c>
      <c r="L5" s="65" t="n">
        <v>1</v>
      </c>
      <c r="M5" s="65" t="n">
        <v>1</v>
      </c>
      <c r="N5" s="65" t="n">
        <v>1</v>
      </c>
      <c r="O5" s="153" t="n">
        <f aca="false">$D5*E5</f>
        <v>41.43</v>
      </c>
      <c r="P5" s="66" t="n">
        <f aca="false">$D5*F5</f>
        <v>41.43</v>
      </c>
      <c r="Q5" s="66" t="n">
        <f aca="false">$D5*G5</f>
        <v>41.43</v>
      </c>
      <c r="R5" s="66" t="n">
        <f aca="false">$D5*H5</f>
        <v>41.43</v>
      </c>
      <c r="S5" s="66" t="n">
        <f aca="false">$D5*I5</f>
        <v>41.43</v>
      </c>
      <c r="T5" s="66" t="n">
        <f aca="false">$D5*J5</f>
        <v>41.43</v>
      </c>
      <c r="U5" s="66" t="n">
        <f aca="false">$D5*K5</f>
        <v>41.43</v>
      </c>
      <c r="V5" s="66" t="n">
        <f aca="false">$D5*L5</f>
        <v>41.43</v>
      </c>
      <c r="W5" s="66" t="n">
        <f aca="false">$D5*M5</f>
        <v>41.43</v>
      </c>
      <c r="X5" s="66" t="n">
        <f aca="false">$D5*N5</f>
        <v>41.43</v>
      </c>
      <c r="Y5" s="95" t="n">
        <f aca="false">Z5/$Y$2</f>
        <v>0.040709442861354</v>
      </c>
      <c r="Z5" s="66" t="n">
        <f aca="false">SUM(O5:X5)</f>
        <v>414.3</v>
      </c>
    </row>
    <row r="6" customFormat="false" ht="15.75" hidden="false" customHeight="true" outlineLevel="0" collapsed="false">
      <c r="A6" s="52" t="n">
        <v>3</v>
      </c>
      <c r="B6" s="53" t="s">
        <v>98</v>
      </c>
      <c r="C6" s="54" t="s">
        <v>51</v>
      </c>
      <c r="D6" s="55" t="n">
        <f aca="false">VLOOKUP(C6,'[1]PREÇO ATUAL'!$A$1:$D$1048576,4,0)</f>
        <v>35.9</v>
      </c>
      <c r="E6" s="150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57" t="n">
        <v>1</v>
      </c>
      <c r="O6" s="151" t="n">
        <f aca="false">$D6*E6</f>
        <v>0</v>
      </c>
      <c r="P6" s="58" t="n">
        <f aca="false">$D6*F6</f>
        <v>35.9</v>
      </c>
      <c r="Q6" s="58" t="n">
        <f aca="false">$D6*G6</f>
        <v>0</v>
      </c>
      <c r="R6" s="58" t="n">
        <f aca="false">$D6*H6</f>
        <v>35.9</v>
      </c>
      <c r="S6" s="58" t="n">
        <f aca="false">$D6*I6</f>
        <v>0</v>
      </c>
      <c r="T6" s="58" t="n">
        <f aca="false">$D6*J6</f>
        <v>35.9</v>
      </c>
      <c r="U6" s="58" t="n">
        <f aca="false">$D6*K6</f>
        <v>0</v>
      </c>
      <c r="V6" s="58" t="n">
        <f aca="false">$D6*L6</f>
        <v>35.9</v>
      </c>
      <c r="W6" s="58" t="n">
        <f aca="false">$D6*M6</f>
        <v>0</v>
      </c>
      <c r="X6" s="58" t="n">
        <f aca="false">$D6*N6</f>
        <v>35.9</v>
      </c>
      <c r="Y6" s="94" t="n">
        <f aca="false">Z6/$Y$2</f>
        <v>0.0176378107497298</v>
      </c>
      <c r="Z6" s="58" t="n">
        <f aca="false">SUM(O6:X6)</f>
        <v>179.5</v>
      </c>
    </row>
    <row r="7" customFormat="false" ht="15.75" hidden="false" customHeight="true" outlineLevel="0" collapsed="false">
      <c r="A7" s="60" t="n">
        <v>4</v>
      </c>
      <c r="B7" s="61" t="s">
        <v>99</v>
      </c>
      <c r="C7" s="62" t="s">
        <v>112</v>
      </c>
      <c r="D7" s="63" t="n">
        <f aca="false">VLOOKUP(C7,'[1]PREÇO ATUAL'!$A$1:$D$1048576,4,0)</f>
        <v>90.75</v>
      </c>
      <c r="E7" s="152"/>
      <c r="F7" s="64" t="n">
        <v>1</v>
      </c>
      <c r="G7" s="64"/>
      <c r="H7" s="64" t="n">
        <v>1</v>
      </c>
      <c r="I7" s="65"/>
      <c r="J7" s="65" t="n">
        <v>1</v>
      </c>
      <c r="K7" s="65"/>
      <c r="L7" s="65" t="n">
        <v>1</v>
      </c>
      <c r="M7" s="65"/>
      <c r="N7" s="65" t="n">
        <v>1</v>
      </c>
      <c r="O7" s="153" t="n">
        <f aca="false">$D7*E7</f>
        <v>0</v>
      </c>
      <c r="P7" s="66" t="n">
        <f aca="false">$D7*F7</f>
        <v>90.75</v>
      </c>
      <c r="Q7" s="66" t="n">
        <f aca="false">$D7*G7</f>
        <v>0</v>
      </c>
      <c r="R7" s="66" t="n">
        <f aca="false">$D7*H7</f>
        <v>90.75</v>
      </c>
      <c r="S7" s="66" t="n">
        <f aca="false">$D7*I7</f>
        <v>0</v>
      </c>
      <c r="T7" s="66" t="n">
        <f aca="false">$D7*J7</f>
        <v>90.75</v>
      </c>
      <c r="U7" s="66" t="n">
        <f aca="false">$D7*K7</f>
        <v>0</v>
      </c>
      <c r="V7" s="66" t="n">
        <f aca="false">$D7*L7</f>
        <v>90.75</v>
      </c>
      <c r="W7" s="66" t="n">
        <f aca="false">$D7*M7</f>
        <v>0</v>
      </c>
      <c r="X7" s="66" t="n">
        <f aca="false">$D7*N7</f>
        <v>90.75</v>
      </c>
      <c r="Y7" s="95" t="n">
        <f aca="false">Z7/$Y$2</f>
        <v>0.0445858307949298</v>
      </c>
      <c r="Z7" s="66" t="n">
        <f aca="false">SUM(O7:X7)</f>
        <v>453.75</v>
      </c>
    </row>
    <row r="8" customFormat="false" ht="15.75" hidden="false" customHeight="true" outlineLevel="0" collapsed="false">
      <c r="A8" s="52" t="n">
        <v>5</v>
      </c>
      <c r="B8" s="53" t="s">
        <v>101</v>
      </c>
      <c r="C8" s="54" t="s">
        <v>113</v>
      </c>
      <c r="D8" s="55" t="n">
        <f aca="false">VLOOKUP(C8,'[1]PREÇO ATUAL'!$A$1:$D$1048576,4,0)</f>
        <v>213.66</v>
      </c>
      <c r="E8" s="150"/>
      <c r="F8" s="56"/>
      <c r="G8" s="56"/>
      <c r="H8" s="56"/>
      <c r="I8" s="57"/>
      <c r="J8" s="57" t="n">
        <v>1</v>
      </c>
      <c r="K8" s="57"/>
      <c r="L8" s="57"/>
      <c r="M8" s="57"/>
      <c r="N8" s="57"/>
      <c r="O8" s="151" t="n">
        <f aca="false">$D8*E8</f>
        <v>0</v>
      </c>
      <c r="P8" s="58" t="n">
        <f aca="false">$D8*F8</f>
        <v>0</v>
      </c>
      <c r="Q8" s="58" t="n">
        <f aca="false">$D8*G8</f>
        <v>0</v>
      </c>
      <c r="R8" s="58" t="n">
        <f aca="false">$D8*H8</f>
        <v>0</v>
      </c>
      <c r="S8" s="58" t="n">
        <f aca="false">$D8*I8</f>
        <v>0</v>
      </c>
      <c r="T8" s="58" t="n">
        <f aca="false">$D8*J8</f>
        <v>213.66</v>
      </c>
      <c r="U8" s="58" t="n">
        <f aca="false">$D8*K8</f>
        <v>0</v>
      </c>
      <c r="V8" s="58" t="n">
        <f aca="false">$D8*L8</f>
        <v>0</v>
      </c>
      <c r="W8" s="58" t="n">
        <f aca="false">$D8*M8</f>
        <v>0</v>
      </c>
      <c r="X8" s="58" t="n">
        <f aca="false">$D8*N8</f>
        <v>0</v>
      </c>
      <c r="Y8" s="94" t="n">
        <f aca="false">Z8/$Y$2</f>
        <v>0.0209943991353051</v>
      </c>
      <c r="Z8" s="58" t="n">
        <f aca="false">SUM(O8:X8)</f>
        <v>213.66</v>
      </c>
    </row>
    <row r="9" customFormat="false" ht="15.75" hidden="false" customHeight="true" outlineLevel="0" collapsed="false">
      <c r="A9" s="60" t="n">
        <v>6</v>
      </c>
      <c r="B9" s="61" t="s">
        <v>89</v>
      </c>
      <c r="C9" s="62" t="s">
        <v>90</v>
      </c>
      <c r="D9" s="63" t="n">
        <f aca="false">VLOOKUP(C9,'[1]PREÇO ATUAL'!$A$1:$D$1048576,4,0)</f>
        <v>75.7</v>
      </c>
      <c r="E9" s="154" t="n">
        <v>4.3</v>
      </c>
      <c r="F9" s="70" t="n">
        <v>4.3</v>
      </c>
      <c r="G9" s="70" t="n">
        <v>4.3</v>
      </c>
      <c r="H9" s="70" t="n">
        <v>4.3</v>
      </c>
      <c r="I9" s="63" t="n">
        <v>4.3</v>
      </c>
      <c r="J9" s="63" t="n">
        <v>4.3</v>
      </c>
      <c r="K9" s="63" t="n">
        <v>4.3</v>
      </c>
      <c r="L9" s="63" t="n">
        <v>4.3</v>
      </c>
      <c r="M9" s="63" t="n">
        <v>4.3</v>
      </c>
      <c r="N9" s="63" t="n">
        <v>4.3</v>
      </c>
      <c r="O9" s="153" t="n">
        <f aca="false">$D9*E9</f>
        <v>325.51</v>
      </c>
      <c r="P9" s="66" t="n">
        <f aca="false">$D9*F9</f>
        <v>325.51</v>
      </c>
      <c r="Q9" s="66" t="n">
        <f aca="false">$D9*G9</f>
        <v>325.51</v>
      </c>
      <c r="R9" s="66" t="n">
        <f aca="false">$D9*H9</f>
        <v>325.51</v>
      </c>
      <c r="S9" s="66" t="n">
        <f aca="false">$D9*I9</f>
        <v>325.51</v>
      </c>
      <c r="T9" s="66" t="n">
        <f aca="false">$D9*J9</f>
        <v>325.51</v>
      </c>
      <c r="U9" s="66" t="n">
        <f aca="false">$D9*K9</f>
        <v>325.51</v>
      </c>
      <c r="V9" s="66" t="n">
        <f aca="false">$D9*L9</f>
        <v>325.51</v>
      </c>
      <c r="W9" s="66" t="n">
        <f aca="false">$D9*M9</f>
        <v>325.51</v>
      </c>
      <c r="X9" s="66" t="n">
        <f aca="false">$D9*N9</f>
        <v>325.51</v>
      </c>
      <c r="Y9" s="95" t="n">
        <f aca="false">Z9/$Y$2</f>
        <v>0.319848678392454</v>
      </c>
      <c r="Z9" s="66" t="n">
        <f aca="false">SUM(O9:X9)</f>
        <v>3255.1</v>
      </c>
    </row>
    <row r="10" customFormat="false" ht="15.75" hidden="false" customHeight="true" outlineLevel="0" collapsed="false">
      <c r="A10" s="52" t="n">
        <v>7</v>
      </c>
      <c r="B10" s="53" t="s">
        <v>60</v>
      </c>
      <c r="C10" s="54" t="s">
        <v>61</v>
      </c>
      <c r="D10" s="55" t="n">
        <f aca="false">VLOOKUP(C10,'[1]PREÇO ATUAL'!$A$1:$D$1048576,4,0)</f>
        <v>33.6224930838505</v>
      </c>
      <c r="E10" s="150"/>
      <c r="F10" s="56"/>
      <c r="G10" s="56"/>
      <c r="H10" s="56"/>
      <c r="I10" s="57"/>
      <c r="J10" s="57"/>
      <c r="K10" s="57"/>
      <c r="L10" s="57"/>
      <c r="M10" s="57"/>
      <c r="N10" s="57"/>
      <c r="O10" s="151" t="n">
        <f aca="false">$D10*E10</f>
        <v>0</v>
      </c>
      <c r="P10" s="58" t="n">
        <f aca="false">$D10*F10</f>
        <v>0</v>
      </c>
      <c r="Q10" s="58" t="n">
        <f aca="false">$D10*G10</f>
        <v>0</v>
      </c>
      <c r="R10" s="58" t="n">
        <f aca="false">$D10*H10</f>
        <v>0</v>
      </c>
      <c r="S10" s="58" t="n">
        <f aca="false">$D10*I10</f>
        <v>0</v>
      </c>
      <c r="T10" s="58" t="n">
        <f aca="false">$D10*J10</f>
        <v>0</v>
      </c>
      <c r="U10" s="58" t="n">
        <f aca="false">$D10*K10</f>
        <v>0</v>
      </c>
      <c r="V10" s="58" t="n">
        <f aca="false">$D10*L10</f>
        <v>0</v>
      </c>
      <c r="W10" s="58" t="n">
        <f aca="false">$D10*M10</f>
        <v>0</v>
      </c>
      <c r="X10" s="58" t="n">
        <f aca="false">$D10*N10</f>
        <v>0</v>
      </c>
      <c r="Y10" s="94" t="n">
        <f aca="false">Z10/$Y$2</f>
        <v>0</v>
      </c>
      <c r="Z10" s="58" t="n">
        <f aca="false">SUM(O10:X10)</f>
        <v>0</v>
      </c>
    </row>
    <row r="11" customFormat="false" ht="15.75" hidden="false" customHeight="true" outlineLevel="0" collapsed="false">
      <c r="A11" s="60" t="n">
        <v>8</v>
      </c>
      <c r="B11" s="61" t="s">
        <v>64</v>
      </c>
      <c r="C11" s="62" t="s">
        <v>65</v>
      </c>
      <c r="D11" s="63" t="n">
        <f aca="false">VLOOKUP(C11,'[1]PREÇO ATUAL'!$A$1:$D$1048576,4,0)</f>
        <v>342</v>
      </c>
      <c r="E11" s="155" t="n">
        <v>1.25</v>
      </c>
      <c r="F11" s="82" t="n">
        <v>1.45</v>
      </c>
      <c r="G11" s="82" t="n">
        <v>1.5</v>
      </c>
      <c r="H11" s="82" t="n">
        <v>1.7</v>
      </c>
      <c r="I11" s="83" t="n">
        <v>1.35</v>
      </c>
      <c r="J11" s="83" t="n">
        <v>2.75</v>
      </c>
      <c r="K11" s="83" t="n">
        <v>1.25</v>
      </c>
      <c r="L11" s="83" t="n">
        <v>1.7</v>
      </c>
      <c r="M11" s="83" t="n">
        <v>1.5</v>
      </c>
      <c r="N11" s="83" t="n">
        <v>1.6</v>
      </c>
      <c r="O11" s="153"/>
      <c r="P11" s="66" t="n">
        <f aca="false">$D11*F11</f>
        <v>495.9</v>
      </c>
      <c r="Q11" s="66" t="n">
        <f aca="false">$D11*G11</f>
        <v>513</v>
      </c>
      <c r="R11" s="66" t="n">
        <f aca="false">$D11*H11</f>
        <v>581.4</v>
      </c>
      <c r="S11" s="66" t="n">
        <f aca="false">$D11*I11</f>
        <v>461.7</v>
      </c>
      <c r="T11" s="66" t="n">
        <f aca="false">$D11*J11</f>
        <v>940.5</v>
      </c>
      <c r="U11" s="66" t="n">
        <f aca="false">$D11*K11</f>
        <v>427.5</v>
      </c>
      <c r="V11" s="66" t="n">
        <f aca="false">$D11*L11</f>
        <v>581.4</v>
      </c>
      <c r="W11" s="66" t="n">
        <f aca="false">$D11*M11</f>
        <v>513</v>
      </c>
      <c r="X11" s="66" t="n">
        <f aca="false">$D11*N11</f>
        <v>547.2</v>
      </c>
      <c r="Y11" s="95" t="n">
        <f aca="false">Z11/$Y$2</f>
        <v>0.497356784907144</v>
      </c>
      <c r="Z11" s="66" t="n">
        <f aca="false">SUM(O11:X11)</f>
        <v>5061.6</v>
      </c>
    </row>
    <row r="12" customFormat="false" ht="15.75" hidden="false" customHeight="true" outlineLevel="0" collapsed="false">
      <c r="H12" s="93"/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</sheetData>
  <mergeCells count="5">
    <mergeCell ref="A1:D2"/>
    <mergeCell ref="E1:N2"/>
    <mergeCell ref="O1:X1"/>
    <mergeCell ref="Y1:Z1"/>
    <mergeCell ref="Y2:Z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Z9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C4" activeCellId="0" sqref="C4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51.29"/>
    <col collapsed="false" customWidth="true" hidden="false" outlineLevel="0" max="3" min="3" style="0" width="16.87"/>
    <col collapsed="false" customWidth="true" hidden="false" outlineLevel="0" max="4" min="4" style="0" width="8.71"/>
    <col collapsed="false" customWidth="true" hidden="false" outlineLevel="0" max="5" min="5" style="0" width="6.57"/>
    <col collapsed="false" customWidth="true" hidden="false" outlineLevel="0" max="13" min="6" style="0" width="5.43"/>
    <col collapsed="false" customWidth="true" hidden="false" outlineLevel="0" max="14" min="14" style="0" width="5.57"/>
    <col collapsed="false" customWidth="true" hidden="false" outlineLevel="0" max="15" min="15" style="0" width="15"/>
    <col collapsed="false" customWidth="true" hidden="false" outlineLevel="0" max="16" min="16" style="0" width="16.87"/>
    <col collapsed="false" customWidth="true" hidden="false" outlineLevel="0" max="17" min="17" style="0" width="17.13"/>
    <col collapsed="false" customWidth="true" hidden="false" outlineLevel="0" max="18" min="18" style="0" width="16.87"/>
    <col collapsed="false" customWidth="true" hidden="false" outlineLevel="0" max="19" min="19" style="0" width="17.13"/>
    <col collapsed="false" customWidth="true" hidden="false" outlineLevel="0" max="20" min="20" style="0" width="16.87"/>
    <col collapsed="false" customWidth="true" hidden="false" outlineLevel="0" max="21" min="21" style="0" width="17.13"/>
    <col collapsed="false" customWidth="true" hidden="false" outlineLevel="0" max="22" min="22" style="0" width="16.87"/>
    <col collapsed="false" customWidth="true" hidden="false" outlineLevel="0" max="23" min="23" style="0" width="17.13"/>
    <col collapsed="false" customWidth="true" hidden="false" outlineLevel="0" max="24" min="24" style="0" width="16.87"/>
    <col collapsed="false" customWidth="true" hidden="false" outlineLevel="0" max="25" min="25" style="0" width="13.7"/>
    <col collapsed="false" customWidth="true" hidden="false" outlineLevel="0" max="26" min="26" style="0" width="15.57"/>
  </cols>
  <sheetData>
    <row r="1" customFormat="false" ht="15.75" hidden="false" customHeight="true" outlineLevel="0" collapsed="false">
      <c r="A1" s="89" t="s">
        <v>173</v>
      </c>
      <c r="B1" s="89"/>
      <c r="C1" s="89"/>
      <c r="D1" s="89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90" t="s">
        <v>30</v>
      </c>
      <c r="P1" s="90"/>
      <c r="Q1" s="90"/>
      <c r="R1" s="90"/>
      <c r="S1" s="90"/>
      <c r="T1" s="90"/>
      <c r="U1" s="90"/>
      <c r="V1" s="90"/>
      <c r="W1" s="90"/>
      <c r="X1" s="90"/>
      <c r="Y1" s="37" t="s">
        <v>31</v>
      </c>
      <c r="Z1" s="37"/>
    </row>
    <row r="2" customFormat="false" ht="15" hidden="false" customHeight="true" outlineLevel="0" collapsed="false">
      <c r="A2" s="89"/>
      <c r="B2" s="89"/>
      <c r="C2" s="89"/>
      <c r="D2" s="89"/>
      <c r="E2" s="86"/>
      <c r="F2" s="86"/>
      <c r="G2" s="86"/>
      <c r="H2" s="86"/>
      <c r="I2" s="86"/>
      <c r="J2" s="86"/>
      <c r="K2" s="86"/>
      <c r="L2" s="86"/>
      <c r="M2" s="86"/>
      <c r="N2" s="86"/>
      <c r="O2" s="43" t="n">
        <f aca="false">MROUND(SUM(O4:O11),1)</f>
        <v>433</v>
      </c>
      <c r="P2" s="43" t="n">
        <f aca="false">MROUND(SUM(P4:P11),1)</f>
        <v>1031</v>
      </c>
      <c r="Q2" s="43" t="n">
        <f aca="false">MROUND(SUM(Q4:Q11),1)</f>
        <v>878</v>
      </c>
      <c r="R2" s="43" t="n">
        <f aca="false">MROUND(SUM(R4:R11),1)</f>
        <v>1048</v>
      </c>
      <c r="S2" s="43" t="n">
        <f aca="false">MROUND(SUM(S4:S11),1)</f>
        <v>980</v>
      </c>
      <c r="T2" s="43" t="n">
        <f aca="false">MROUND(SUM(T4:T11),1)</f>
        <v>2221</v>
      </c>
      <c r="U2" s="43" t="n">
        <f aca="false">MROUND(SUM(U4:U11),1)</f>
        <v>878</v>
      </c>
      <c r="V2" s="43" t="n">
        <f aca="false">MROUND(SUM(V4:V11),1)</f>
        <v>1048</v>
      </c>
      <c r="W2" s="43" t="n">
        <f aca="false">MROUND(SUM(W4:W11),1)</f>
        <v>878</v>
      </c>
      <c r="X2" s="43" t="n">
        <f aca="false">MROUND(SUM(X4:X11),1)</f>
        <v>1167</v>
      </c>
      <c r="Y2" s="44" t="n">
        <f aca="false">SUM(O2:X2)</f>
        <v>10562</v>
      </c>
      <c r="Z2" s="44"/>
    </row>
    <row r="3" customFormat="false" ht="15.75" hidden="false" customHeight="tru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n">
        <v>10000</v>
      </c>
      <c r="P3" s="48" t="n">
        <v>20000</v>
      </c>
      <c r="Q3" s="48" t="n">
        <v>30000</v>
      </c>
      <c r="R3" s="48" t="n">
        <v>40000</v>
      </c>
      <c r="S3" s="48" t="n">
        <v>50000</v>
      </c>
      <c r="T3" s="48" t="n">
        <v>60000</v>
      </c>
      <c r="U3" s="48" t="n">
        <v>70000</v>
      </c>
      <c r="V3" s="48" t="n">
        <v>80000</v>
      </c>
      <c r="W3" s="48" t="n">
        <v>90000</v>
      </c>
      <c r="X3" s="48" t="n">
        <v>100000</v>
      </c>
      <c r="Y3" s="51" t="s">
        <v>46</v>
      </c>
      <c r="Z3" s="45" t="s">
        <v>47</v>
      </c>
    </row>
    <row r="4" customFormat="false" ht="15.75" hidden="false" customHeight="true" outlineLevel="0" collapsed="false">
      <c r="A4" s="52" t="n">
        <v>1</v>
      </c>
      <c r="B4" s="53" t="s">
        <v>174</v>
      </c>
      <c r="C4" s="54" t="s">
        <v>82</v>
      </c>
      <c r="D4" s="55" t="n">
        <f aca="false">VLOOKUP(C4,'[1]PREÇO ATUAL'!$A$1:$D$1048576,4,0)</f>
        <v>41.43</v>
      </c>
      <c r="E4" s="1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96" t="n">
        <v>1</v>
      </c>
      <c r="O4" s="157" t="n">
        <f aca="false">$D4*E4</f>
        <v>41.43</v>
      </c>
      <c r="P4" s="58" t="n">
        <f aca="false">$D4*F4</f>
        <v>41.43</v>
      </c>
      <c r="Q4" s="58" t="n">
        <f aca="false">$D4*G4</f>
        <v>41.43</v>
      </c>
      <c r="R4" s="58" t="n">
        <f aca="false">$D4*H4</f>
        <v>41.43</v>
      </c>
      <c r="S4" s="58" t="n">
        <f aca="false">$D4*I4</f>
        <v>41.43</v>
      </c>
      <c r="T4" s="58" t="n">
        <f aca="false">$D4*J4</f>
        <v>41.43</v>
      </c>
      <c r="U4" s="58" t="n">
        <f aca="false">$D4*K4</f>
        <v>41.43</v>
      </c>
      <c r="V4" s="58" t="n">
        <f aca="false">$D4*L4</f>
        <v>41.43</v>
      </c>
      <c r="W4" s="58" t="n">
        <f aca="false">$D4*M4</f>
        <v>41.43</v>
      </c>
      <c r="X4" s="58" t="n">
        <f aca="false">$D4*N4</f>
        <v>41.43</v>
      </c>
      <c r="Y4" s="94" t="n">
        <f aca="false">Z4/$Y$2</f>
        <v>0.0392255254686612</v>
      </c>
      <c r="Z4" s="58" t="n">
        <f aca="false">SUM(O4:X4)</f>
        <v>414.3</v>
      </c>
    </row>
    <row r="5" customFormat="false" ht="15.75" hidden="false" customHeight="true" outlineLevel="0" collapsed="false">
      <c r="A5" s="60" t="n">
        <v>2</v>
      </c>
      <c r="B5" s="61" t="s">
        <v>98</v>
      </c>
      <c r="C5" s="62" t="s">
        <v>51</v>
      </c>
      <c r="D5" s="63" t="n">
        <f aca="false">VLOOKUP(C5,'[1]PREÇO ATUAL'!$A$1:$D$1048576,4,0)</f>
        <v>35.9</v>
      </c>
      <c r="E5" s="158" t="n">
        <v>1</v>
      </c>
      <c r="F5" s="64" t="n">
        <v>1</v>
      </c>
      <c r="G5" s="64" t="n">
        <v>1</v>
      </c>
      <c r="H5" s="64" t="n">
        <v>1</v>
      </c>
      <c r="I5" s="65" t="n">
        <v>1</v>
      </c>
      <c r="J5" s="65" t="n">
        <v>1</v>
      </c>
      <c r="K5" s="65" t="n">
        <v>1</v>
      </c>
      <c r="L5" s="65" t="n">
        <v>1</v>
      </c>
      <c r="M5" s="65" t="n">
        <v>1</v>
      </c>
      <c r="N5" s="97" t="n">
        <v>1</v>
      </c>
      <c r="O5" s="159" t="n">
        <f aca="false">$D5*E5</f>
        <v>35.9</v>
      </c>
      <c r="P5" s="66" t="n">
        <f aca="false">$D5*F5</f>
        <v>35.9</v>
      </c>
      <c r="Q5" s="66" t="n">
        <f aca="false">$D5*G5</f>
        <v>35.9</v>
      </c>
      <c r="R5" s="66" t="n">
        <f aca="false">$D5*H5</f>
        <v>35.9</v>
      </c>
      <c r="S5" s="66" t="n">
        <f aca="false">$D5*I5</f>
        <v>35.9</v>
      </c>
      <c r="T5" s="66" t="n">
        <f aca="false">$D5*J5</f>
        <v>35.9</v>
      </c>
      <c r="U5" s="66" t="n">
        <f aca="false">$D5*K5</f>
        <v>35.9</v>
      </c>
      <c r="V5" s="66" t="n">
        <f aca="false">$D5*L5</f>
        <v>35.9</v>
      </c>
      <c r="W5" s="66" t="n">
        <f aca="false">$D5*M5</f>
        <v>35.9</v>
      </c>
      <c r="X5" s="66" t="n">
        <f aca="false">$D5*N5</f>
        <v>35.9</v>
      </c>
      <c r="Y5" s="95" t="n">
        <f aca="false">Z5/$Y$2</f>
        <v>0.0339897746638894</v>
      </c>
      <c r="Z5" s="66" t="n">
        <f aca="false">SUM(O5:X5)</f>
        <v>359</v>
      </c>
    </row>
    <row r="6" customFormat="false" ht="15.75" hidden="false" customHeight="true" outlineLevel="0" collapsed="false">
      <c r="A6" s="52" t="n">
        <v>3</v>
      </c>
      <c r="B6" s="53" t="s">
        <v>175</v>
      </c>
      <c r="C6" s="54" t="s">
        <v>176</v>
      </c>
      <c r="D6" s="55" t="n">
        <f aca="false">VLOOKUP(C6,'[1]PREÇO ATUAL'!$A$1:$D$1048576,4,0)</f>
        <v>101.54</v>
      </c>
      <c r="E6" s="1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96" t="n">
        <v>1</v>
      </c>
      <c r="O6" s="157" t="n">
        <f aca="false">$D6*E6</f>
        <v>0</v>
      </c>
      <c r="P6" s="58" t="n">
        <f aca="false">$D6*F6</f>
        <v>101.54</v>
      </c>
      <c r="Q6" s="58" t="n">
        <f aca="false">$D6*G6</f>
        <v>0</v>
      </c>
      <c r="R6" s="58" t="n">
        <f aca="false">$D6*H6</f>
        <v>101.54</v>
      </c>
      <c r="S6" s="58" t="n">
        <f aca="false">$D6*I6</f>
        <v>0</v>
      </c>
      <c r="T6" s="58" t="n">
        <f aca="false">$D6*J6</f>
        <v>101.54</v>
      </c>
      <c r="U6" s="58" t="n">
        <f aca="false">$D6*K6</f>
        <v>0</v>
      </c>
      <c r="V6" s="58" t="n">
        <f aca="false">$D6*L6</f>
        <v>101.54</v>
      </c>
      <c r="W6" s="58" t="n">
        <f aca="false">$D6*M6</f>
        <v>0</v>
      </c>
      <c r="X6" s="58" t="n">
        <f aca="false">$D6*N6</f>
        <v>101.54</v>
      </c>
      <c r="Y6" s="94" t="n">
        <f aca="false">Z6/$Y$2</f>
        <v>0.0480685476235561</v>
      </c>
      <c r="Z6" s="58" t="n">
        <f aca="false">SUM(O6:X6)</f>
        <v>507.7</v>
      </c>
    </row>
    <row r="7" customFormat="false" ht="15.75" hidden="false" customHeight="true" outlineLevel="0" collapsed="false">
      <c r="A7" s="60" t="n">
        <v>4</v>
      </c>
      <c r="B7" s="61" t="s">
        <v>177</v>
      </c>
      <c r="C7" s="62" t="s">
        <v>86</v>
      </c>
      <c r="D7" s="63" t="n">
        <f aca="false">VLOOKUP(C7,'[1]PREÇO ATUAL'!$A$1:$D$1048576,4,0)</f>
        <v>114.24</v>
      </c>
      <c r="E7" s="158"/>
      <c r="F7" s="64"/>
      <c r="G7" s="64"/>
      <c r="H7" s="64"/>
      <c r="I7" s="65"/>
      <c r="J7" s="65" t="n">
        <v>4</v>
      </c>
      <c r="K7" s="65"/>
      <c r="L7" s="65"/>
      <c r="M7" s="65"/>
      <c r="N7" s="97"/>
      <c r="O7" s="159" t="n">
        <f aca="false">$D7*E7</f>
        <v>0</v>
      </c>
      <c r="P7" s="66" t="n">
        <f aca="false">$D7*F7</f>
        <v>0</v>
      </c>
      <c r="Q7" s="66" t="n">
        <f aca="false">$D7*G7</f>
        <v>0</v>
      </c>
      <c r="R7" s="66" t="n">
        <f aca="false">$D7*H7</f>
        <v>0</v>
      </c>
      <c r="S7" s="66" t="n">
        <f aca="false">$D7*I7</f>
        <v>0</v>
      </c>
      <c r="T7" s="66" t="n">
        <f aca="false">$D7*J7</f>
        <v>456.96</v>
      </c>
      <c r="U7" s="66" t="n">
        <f aca="false">$D7*K7</f>
        <v>0</v>
      </c>
      <c r="V7" s="66" t="n">
        <f aca="false">$D7*L7</f>
        <v>0</v>
      </c>
      <c r="W7" s="66" t="n">
        <f aca="false">$D7*M7</f>
        <v>0</v>
      </c>
      <c r="X7" s="66" t="n">
        <f aca="false">$D7*N7</f>
        <v>0</v>
      </c>
      <c r="Y7" s="95" t="n">
        <f aca="false">Z7/$Y$2</f>
        <v>0.0432645332323424</v>
      </c>
      <c r="Z7" s="66" t="n">
        <f aca="false">SUM(O7:X7)</f>
        <v>456.96</v>
      </c>
    </row>
    <row r="8" customFormat="false" ht="15.75" hidden="false" customHeight="true" outlineLevel="0" collapsed="false">
      <c r="A8" s="52" t="n">
        <v>5</v>
      </c>
      <c r="B8" s="53" t="s">
        <v>178</v>
      </c>
      <c r="C8" s="54" t="s">
        <v>88</v>
      </c>
      <c r="D8" s="55" t="n">
        <f aca="false">VLOOKUP(C8,'[1]PREÇO ATUAL'!$A$1:$D$1048576,4,0)</f>
        <v>169.01</v>
      </c>
      <c r="E8" s="156"/>
      <c r="F8" s="56"/>
      <c r="G8" s="56"/>
      <c r="H8" s="56"/>
      <c r="I8" s="57"/>
      <c r="J8" s="57" t="n">
        <v>1</v>
      </c>
      <c r="K8" s="57"/>
      <c r="L8" s="57"/>
      <c r="M8" s="57"/>
      <c r="N8" s="96"/>
      <c r="O8" s="157" t="n">
        <f aca="false">$D8*E8</f>
        <v>0</v>
      </c>
      <c r="P8" s="58" t="n">
        <f aca="false">$D8*F8</f>
        <v>0</v>
      </c>
      <c r="Q8" s="58" t="n">
        <f aca="false">$D8*G8</f>
        <v>0</v>
      </c>
      <c r="R8" s="58" t="n">
        <f aca="false">$D8*H8</f>
        <v>0</v>
      </c>
      <c r="S8" s="58" t="n">
        <f aca="false">$D8*I8</f>
        <v>0</v>
      </c>
      <c r="T8" s="58" t="n">
        <f aca="false">$D8*J8</f>
        <v>169.01</v>
      </c>
      <c r="U8" s="58" t="n">
        <f aca="false">$D8*K8</f>
        <v>0</v>
      </c>
      <c r="V8" s="58" t="n">
        <f aca="false">$D8*L8</f>
        <v>0</v>
      </c>
      <c r="W8" s="58" t="n">
        <f aca="false">$D8*M8</f>
        <v>0</v>
      </c>
      <c r="X8" s="58" t="n">
        <f aca="false">$D8*N8</f>
        <v>0</v>
      </c>
      <c r="Y8" s="94" t="n">
        <f aca="false">Z8/$Y$2</f>
        <v>0.0160017042226851</v>
      </c>
      <c r="Z8" s="58" t="n">
        <f aca="false">SUM(O8:X8)</f>
        <v>169.01</v>
      </c>
    </row>
    <row r="9" customFormat="false" ht="15.75" hidden="false" customHeight="true" outlineLevel="0" collapsed="false">
      <c r="A9" s="60" t="n">
        <v>6</v>
      </c>
      <c r="B9" s="61" t="s">
        <v>179</v>
      </c>
      <c r="C9" s="62" t="s">
        <v>180</v>
      </c>
      <c r="D9" s="63" t="n">
        <f aca="false">VLOOKUP(C9,'[1]PREÇO ATUAL'!$A$1:$D$1048576,4,0)</f>
        <v>45.09</v>
      </c>
      <c r="E9" s="158"/>
      <c r="F9" s="64"/>
      <c r="G9" s="64"/>
      <c r="H9" s="64"/>
      <c r="I9" s="65"/>
      <c r="J9" s="65"/>
      <c r="K9" s="65"/>
      <c r="L9" s="65"/>
      <c r="M9" s="65"/>
      <c r="N9" s="97"/>
      <c r="O9" s="159" t="n">
        <f aca="false">$D9*E9</f>
        <v>0</v>
      </c>
      <c r="P9" s="66" t="n">
        <f aca="false">$D9*F9</f>
        <v>0</v>
      </c>
      <c r="Q9" s="66" t="n">
        <f aca="false">$D9*G9</f>
        <v>0</v>
      </c>
      <c r="R9" s="66" t="n">
        <f aca="false">$D9*H9</f>
        <v>0</v>
      </c>
      <c r="S9" s="66" t="n">
        <f aca="false">$D9*I9</f>
        <v>0</v>
      </c>
      <c r="T9" s="66" t="n">
        <f aca="false">$D9*J9</f>
        <v>0</v>
      </c>
      <c r="U9" s="66" t="n">
        <f aca="false">$D9*K9</f>
        <v>0</v>
      </c>
      <c r="V9" s="66" t="n">
        <f aca="false">$D9*L9</f>
        <v>0</v>
      </c>
      <c r="W9" s="66" t="n">
        <f aca="false">$D9*M9</f>
        <v>0</v>
      </c>
      <c r="X9" s="66" t="n">
        <f aca="false">$D9*N9</f>
        <v>0</v>
      </c>
      <c r="Y9" s="95" t="n">
        <f aca="false">Z9/$Y$2</f>
        <v>0</v>
      </c>
      <c r="Z9" s="66" t="n">
        <f aca="false">SUM(O9:X9)</f>
        <v>0</v>
      </c>
    </row>
    <row r="10" customFormat="false" ht="15.75" hidden="false" customHeight="true" outlineLevel="0" collapsed="false">
      <c r="A10" s="52" t="n">
        <v>7</v>
      </c>
      <c r="B10" s="53" t="s">
        <v>89</v>
      </c>
      <c r="C10" s="54" t="s">
        <v>90</v>
      </c>
      <c r="D10" s="55" t="n">
        <f aca="false">VLOOKUP(C10,'[1]PREÇO ATUAL'!$A$1:$D$1048576,4,0)</f>
        <v>75.7</v>
      </c>
      <c r="E10" s="160" t="n">
        <v>4.7</v>
      </c>
      <c r="F10" s="104" t="n">
        <v>4.7</v>
      </c>
      <c r="G10" s="104" t="n">
        <v>4.7</v>
      </c>
      <c r="H10" s="104" t="n">
        <v>4.7</v>
      </c>
      <c r="I10" s="104" t="n">
        <v>4.7</v>
      </c>
      <c r="J10" s="104" t="n">
        <v>4.7</v>
      </c>
      <c r="K10" s="104" t="n">
        <v>4.7</v>
      </c>
      <c r="L10" s="104" t="n">
        <v>4.7</v>
      </c>
      <c r="M10" s="104" t="n">
        <v>4.7</v>
      </c>
      <c r="N10" s="104" t="n">
        <v>4.7</v>
      </c>
      <c r="O10" s="157" t="n">
        <f aca="false">$D10*E10</f>
        <v>355.79</v>
      </c>
      <c r="P10" s="58" t="n">
        <f aca="false">$D10*F10</f>
        <v>355.79</v>
      </c>
      <c r="Q10" s="58" t="n">
        <f aca="false">$D10*G10</f>
        <v>355.79</v>
      </c>
      <c r="R10" s="58" t="n">
        <f aca="false">$D10*H10</f>
        <v>355.79</v>
      </c>
      <c r="S10" s="58" t="n">
        <f aca="false">$D10*I10</f>
        <v>355.79</v>
      </c>
      <c r="T10" s="58" t="n">
        <f aca="false">$D10*J10</f>
        <v>355.79</v>
      </c>
      <c r="U10" s="58" t="n">
        <f aca="false">$D10*K10</f>
        <v>355.79</v>
      </c>
      <c r="V10" s="58" t="n">
        <f aca="false">$D10*L10</f>
        <v>355.79</v>
      </c>
      <c r="W10" s="58" t="n">
        <f aca="false">$D10*M10</f>
        <v>355.79</v>
      </c>
      <c r="X10" s="58" t="n">
        <f aca="false">$D10*N10</f>
        <v>355.79</v>
      </c>
      <c r="Y10" s="94" t="n">
        <f aca="false">Z10/$Y$2</f>
        <v>0.336858549517137</v>
      </c>
      <c r="Z10" s="58" t="n">
        <f aca="false">SUM(O10:X10)</f>
        <v>3557.9</v>
      </c>
    </row>
    <row r="11" customFormat="false" ht="15.75" hidden="false" customHeight="true" outlineLevel="0" collapsed="false">
      <c r="A11" s="60" t="n">
        <v>8</v>
      </c>
      <c r="B11" s="61" t="s">
        <v>64</v>
      </c>
      <c r="C11" s="62" t="s">
        <v>65</v>
      </c>
      <c r="D11" s="63" t="n">
        <f aca="false">VLOOKUP(C11,'[1]PREÇO ATUAL'!$A$1:$D$1048576,4,0)</f>
        <v>342</v>
      </c>
      <c r="E11" s="161" t="n">
        <v>1.25</v>
      </c>
      <c r="F11" s="70" t="n">
        <v>1.45</v>
      </c>
      <c r="G11" s="70" t="n">
        <v>1.3</v>
      </c>
      <c r="H11" s="70" t="n">
        <v>1.5</v>
      </c>
      <c r="I11" s="63" t="n">
        <v>1.6</v>
      </c>
      <c r="J11" s="63" t="n">
        <v>3.1</v>
      </c>
      <c r="K11" s="63" t="n">
        <v>1.3</v>
      </c>
      <c r="L11" s="63" t="n">
        <v>1.5</v>
      </c>
      <c r="M11" s="63" t="n">
        <v>1.3</v>
      </c>
      <c r="N11" s="119" t="n">
        <v>1.85</v>
      </c>
      <c r="O11" s="159"/>
      <c r="P11" s="66" t="n">
        <f aca="false">$D11*F11</f>
        <v>495.9</v>
      </c>
      <c r="Q11" s="66" t="n">
        <f aca="false">$D11*G11</f>
        <v>444.6</v>
      </c>
      <c r="R11" s="66" t="n">
        <f aca="false">$D11*H11</f>
        <v>513</v>
      </c>
      <c r="S11" s="66" t="n">
        <f aca="false">$D11*I11</f>
        <v>547.2</v>
      </c>
      <c r="T11" s="66" t="n">
        <f aca="false">$D11*J11</f>
        <v>1060.2</v>
      </c>
      <c r="U11" s="66" t="n">
        <f aca="false">$D11*K11</f>
        <v>444.6</v>
      </c>
      <c r="V11" s="66" t="n">
        <f aca="false">$D11*L11</f>
        <v>513</v>
      </c>
      <c r="W11" s="66" t="n">
        <f aca="false">$D11*M11</f>
        <v>444.6</v>
      </c>
      <c r="X11" s="66" t="n">
        <f aca="false">$D11*N11</f>
        <v>632.7</v>
      </c>
      <c r="Y11" s="95" t="n">
        <f aca="false">Z11/$Y$2</f>
        <v>0.482465442151108</v>
      </c>
      <c r="Z11" s="66" t="n">
        <f aca="false">SUM(O11:X11)</f>
        <v>5095.8</v>
      </c>
    </row>
    <row r="12" customFormat="false" ht="17.2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62"/>
      <c r="P12" s="162"/>
      <c r="Q12" s="162"/>
      <c r="R12" s="162"/>
      <c r="S12" s="162"/>
      <c r="T12" s="162"/>
      <c r="U12" s="162"/>
      <c r="V12" s="162"/>
      <c r="W12" s="162"/>
      <c r="X12" s="162"/>
    </row>
    <row r="13" customFormat="false" ht="15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customFormat="false" ht="15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customFormat="false" ht="15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customFormat="false" ht="15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customFormat="false" ht="15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customFormat="false" ht="15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customFormat="false" ht="15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customFormat="false" ht="15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customFormat="false" ht="15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customFormat="false" ht="15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customFormat="false" ht="15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customFormat="false" ht="15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customFormat="false" ht="15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customFormat="false" ht="15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customFormat="false" ht="15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customFormat="false" ht="15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customFormat="false" ht="15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customFormat="false" ht="15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customFormat="false" ht="15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customFormat="false" ht="15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</sheetData>
  <mergeCells count="5">
    <mergeCell ref="A1:D2"/>
    <mergeCell ref="E1:N2"/>
    <mergeCell ref="O1:X1"/>
    <mergeCell ref="Y1:Z1"/>
    <mergeCell ref="Y2:Z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Z9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C4" activeCellId="0" sqref="C4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51.29"/>
    <col collapsed="false" customWidth="true" hidden="false" outlineLevel="0" max="3" min="3" style="0" width="16.87"/>
    <col collapsed="false" customWidth="true" hidden="false" outlineLevel="0" max="4" min="4" style="0" width="8.71"/>
    <col collapsed="false" customWidth="true" hidden="false" outlineLevel="0" max="5" min="5" style="0" width="6.57"/>
    <col collapsed="false" customWidth="true" hidden="false" outlineLevel="0" max="13" min="6" style="0" width="5.43"/>
    <col collapsed="false" customWidth="true" hidden="false" outlineLevel="0" max="14" min="14" style="0" width="5.57"/>
    <col collapsed="false" customWidth="true" hidden="false" outlineLevel="0" max="15" min="15" style="0" width="15"/>
    <col collapsed="false" customWidth="true" hidden="false" outlineLevel="0" max="16" min="16" style="0" width="16.87"/>
    <col collapsed="false" customWidth="true" hidden="false" outlineLevel="0" max="17" min="17" style="0" width="17.13"/>
    <col collapsed="false" customWidth="true" hidden="false" outlineLevel="0" max="18" min="18" style="0" width="16.87"/>
    <col collapsed="false" customWidth="true" hidden="false" outlineLevel="0" max="19" min="19" style="0" width="17.13"/>
    <col collapsed="false" customWidth="true" hidden="false" outlineLevel="0" max="20" min="20" style="0" width="16.87"/>
    <col collapsed="false" customWidth="true" hidden="false" outlineLevel="0" max="21" min="21" style="0" width="17.13"/>
    <col collapsed="false" customWidth="true" hidden="false" outlineLevel="0" max="22" min="22" style="0" width="16.87"/>
    <col collapsed="false" customWidth="true" hidden="false" outlineLevel="0" max="23" min="23" style="0" width="17.13"/>
    <col collapsed="false" customWidth="true" hidden="false" outlineLevel="0" max="24" min="24" style="0" width="16.87"/>
    <col collapsed="false" customWidth="true" hidden="false" outlineLevel="0" max="25" min="25" style="0" width="13.7"/>
    <col collapsed="false" customWidth="true" hidden="false" outlineLevel="0" max="26" min="26" style="0" width="15.57"/>
  </cols>
  <sheetData>
    <row r="1" customFormat="false" ht="15.75" hidden="false" customHeight="true" outlineLevel="0" collapsed="false">
      <c r="A1" s="89" t="s">
        <v>181</v>
      </c>
      <c r="B1" s="89"/>
      <c r="C1" s="89"/>
      <c r="D1" s="89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90" t="s">
        <v>30</v>
      </c>
      <c r="P1" s="90"/>
      <c r="Q1" s="90"/>
      <c r="R1" s="90"/>
      <c r="S1" s="90"/>
      <c r="T1" s="90"/>
      <c r="U1" s="90"/>
      <c r="V1" s="90"/>
      <c r="W1" s="90"/>
      <c r="X1" s="90"/>
      <c r="Y1" s="37" t="s">
        <v>31</v>
      </c>
      <c r="Z1" s="37"/>
    </row>
    <row r="2" customFormat="false" ht="15" hidden="false" customHeight="true" outlineLevel="0" collapsed="false">
      <c r="A2" s="89"/>
      <c r="B2" s="89"/>
      <c r="C2" s="89"/>
      <c r="D2" s="89"/>
      <c r="E2" s="86"/>
      <c r="F2" s="86"/>
      <c r="G2" s="86"/>
      <c r="H2" s="86"/>
      <c r="I2" s="86"/>
      <c r="J2" s="86"/>
      <c r="K2" s="86"/>
      <c r="L2" s="86"/>
      <c r="M2" s="86"/>
      <c r="N2" s="86"/>
      <c r="O2" s="43" t="n">
        <f aca="false">MROUND(SUM(O4:O11),1)</f>
        <v>634</v>
      </c>
      <c r="P2" s="43" t="n">
        <f aca="false">MROUND(SUM(P4:P11),1)</f>
        <v>993</v>
      </c>
      <c r="Q2" s="43" t="n">
        <f aca="false">MROUND(SUM(Q4:Q11),1)</f>
        <v>1044</v>
      </c>
      <c r="R2" s="43" t="n">
        <f aca="false">MROUND(SUM(R4:R11),1)</f>
        <v>1078</v>
      </c>
      <c r="S2" s="43" t="n">
        <f aca="false">MROUND(SUM(S4:S11),1)</f>
        <v>1027</v>
      </c>
      <c r="T2" s="43" t="n">
        <f aca="false">MROUND(SUM(T4:T11),1)</f>
        <v>2409</v>
      </c>
      <c r="U2" s="43" t="n">
        <f aca="false">MROUND(SUM(U4:U11),1)</f>
        <v>993</v>
      </c>
      <c r="V2" s="43" t="n">
        <f aca="false">MROUND(SUM(V4:V11),1)</f>
        <v>1078</v>
      </c>
      <c r="W2" s="43" t="n">
        <f aca="false">MROUND(SUM(W4:W11),1)</f>
        <v>1044</v>
      </c>
      <c r="X2" s="43" t="n">
        <f aca="false">MROUND(SUM(X4:X11),1)</f>
        <v>1027</v>
      </c>
      <c r="Y2" s="44" t="n">
        <f aca="false">SUM(O2:X2)</f>
        <v>11327</v>
      </c>
      <c r="Z2" s="44"/>
    </row>
    <row r="3" customFormat="false" ht="15.75" hidden="false" customHeight="tru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n">
        <v>10000</v>
      </c>
      <c r="P3" s="48" t="n">
        <v>20000</v>
      </c>
      <c r="Q3" s="48" t="n">
        <v>30000</v>
      </c>
      <c r="R3" s="48" t="n">
        <v>40000</v>
      </c>
      <c r="S3" s="48" t="n">
        <v>50000</v>
      </c>
      <c r="T3" s="48" t="n">
        <v>60000</v>
      </c>
      <c r="U3" s="48" t="n">
        <v>70000</v>
      </c>
      <c r="V3" s="48" t="n">
        <v>80000</v>
      </c>
      <c r="W3" s="48" t="n">
        <v>90000</v>
      </c>
      <c r="X3" s="48" t="n">
        <v>100000</v>
      </c>
      <c r="Y3" s="51" t="s">
        <v>46</v>
      </c>
      <c r="Z3" s="45" t="s">
        <v>47</v>
      </c>
    </row>
    <row r="4" customFormat="false" ht="15.75" hidden="false" customHeight="true" outlineLevel="0" collapsed="false">
      <c r="A4" s="52" t="n">
        <v>1</v>
      </c>
      <c r="B4" s="53" t="s">
        <v>174</v>
      </c>
      <c r="C4" s="54" t="s">
        <v>182</v>
      </c>
      <c r="D4" s="55" t="n">
        <f aca="false">VLOOKUP(C4,'[1]PREÇO ATUAL'!$A$1:$D$1048576,4,0)</f>
        <v>102.7</v>
      </c>
      <c r="E4" s="1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96" t="n">
        <v>1</v>
      </c>
      <c r="O4" s="157" t="n">
        <f aca="false">$D4*E4</f>
        <v>102.7</v>
      </c>
      <c r="P4" s="58" t="n">
        <f aca="false">$D4*F4</f>
        <v>102.7</v>
      </c>
      <c r="Q4" s="58" t="n">
        <f aca="false">$D4*G4</f>
        <v>102.7</v>
      </c>
      <c r="R4" s="58" t="n">
        <f aca="false">$D4*H4</f>
        <v>102.7</v>
      </c>
      <c r="S4" s="58" t="n">
        <f aca="false">$D4*I4</f>
        <v>102.7</v>
      </c>
      <c r="T4" s="58" t="n">
        <f aca="false">$D4*J4</f>
        <v>102.7</v>
      </c>
      <c r="U4" s="58" t="n">
        <f aca="false">$D4*K4</f>
        <v>102.7</v>
      </c>
      <c r="V4" s="58" t="n">
        <f aca="false">$D4*L4</f>
        <v>102.7</v>
      </c>
      <c r="W4" s="58" t="n">
        <f aca="false">$D4*M4</f>
        <v>102.7</v>
      </c>
      <c r="X4" s="58" t="n">
        <f aca="false">$D4*N4</f>
        <v>102.7</v>
      </c>
      <c r="Y4" s="94" t="n">
        <f aca="false">Z4/$Y$2</f>
        <v>0.0906683146464201</v>
      </c>
      <c r="Z4" s="58" t="n">
        <f aca="false">SUM(O4:X4)</f>
        <v>1027</v>
      </c>
    </row>
    <row r="5" customFormat="false" ht="15.75" hidden="false" customHeight="true" outlineLevel="0" collapsed="false">
      <c r="A5" s="60" t="n">
        <v>2</v>
      </c>
      <c r="B5" s="61" t="s">
        <v>98</v>
      </c>
      <c r="C5" s="62" t="s">
        <v>51</v>
      </c>
      <c r="D5" s="63" t="n">
        <f aca="false">VLOOKUP(C5,'[1]PREÇO ATUAL'!$A$1:$D$1048576,4,0)</f>
        <v>35.9</v>
      </c>
      <c r="E5" s="158" t="n">
        <v>1</v>
      </c>
      <c r="F5" s="64" t="n">
        <v>1</v>
      </c>
      <c r="G5" s="64" t="n">
        <v>1</v>
      </c>
      <c r="H5" s="64" t="n">
        <v>1</v>
      </c>
      <c r="I5" s="65" t="n">
        <v>1</v>
      </c>
      <c r="J5" s="65" t="n">
        <v>1</v>
      </c>
      <c r="K5" s="65" t="n">
        <v>1</v>
      </c>
      <c r="L5" s="65" t="n">
        <v>1</v>
      </c>
      <c r="M5" s="65" t="n">
        <v>1</v>
      </c>
      <c r="N5" s="97" t="n">
        <v>1</v>
      </c>
      <c r="O5" s="159" t="n">
        <f aca="false">$D5*E5</f>
        <v>35.9</v>
      </c>
      <c r="P5" s="66" t="n">
        <f aca="false">$D5*F5</f>
        <v>35.9</v>
      </c>
      <c r="Q5" s="66" t="n">
        <f aca="false">$D5*G5</f>
        <v>35.9</v>
      </c>
      <c r="R5" s="66" t="n">
        <f aca="false">$D5*H5</f>
        <v>35.9</v>
      </c>
      <c r="S5" s="66" t="n">
        <f aca="false">$D5*I5</f>
        <v>35.9</v>
      </c>
      <c r="T5" s="66" t="n">
        <f aca="false">$D5*J5</f>
        <v>35.9</v>
      </c>
      <c r="U5" s="66" t="n">
        <f aca="false">$D5*K5</f>
        <v>35.9</v>
      </c>
      <c r="V5" s="66" t="n">
        <f aca="false">$D5*L5</f>
        <v>35.9</v>
      </c>
      <c r="W5" s="66" t="n">
        <f aca="false">$D5*M5</f>
        <v>35.9</v>
      </c>
      <c r="X5" s="66" t="n">
        <f aca="false">$D5*N5</f>
        <v>35.9</v>
      </c>
      <c r="Y5" s="95" t="n">
        <f aca="false">Z5/$Y$2</f>
        <v>0.0316941820429063</v>
      </c>
      <c r="Z5" s="66" t="n">
        <f aca="false">SUM(O5:X5)</f>
        <v>359</v>
      </c>
    </row>
    <row r="6" customFormat="false" ht="15.75" hidden="false" customHeight="true" outlineLevel="0" collapsed="false">
      <c r="A6" s="52" t="n">
        <v>3</v>
      </c>
      <c r="B6" s="53" t="s">
        <v>175</v>
      </c>
      <c r="C6" s="54" t="s">
        <v>176</v>
      </c>
      <c r="D6" s="55" t="n">
        <f aca="false">VLOOKUP(C6,'[1]PREÇO ATUAL'!$A$1:$D$1048576,4,0)</f>
        <v>101.54</v>
      </c>
      <c r="E6" s="156" t="n">
        <v>1</v>
      </c>
      <c r="F6" s="56" t="n">
        <v>1</v>
      </c>
      <c r="G6" s="56" t="n">
        <v>1</v>
      </c>
      <c r="H6" s="56" t="n">
        <v>1</v>
      </c>
      <c r="I6" s="57" t="n">
        <v>1</v>
      </c>
      <c r="J6" s="57" t="n">
        <v>1</v>
      </c>
      <c r="K6" s="57" t="n">
        <v>1</v>
      </c>
      <c r="L6" s="57" t="n">
        <v>1</v>
      </c>
      <c r="M6" s="57" t="n">
        <v>1</v>
      </c>
      <c r="N6" s="96" t="n">
        <v>1</v>
      </c>
      <c r="O6" s="157" t="n">
        <f aca="false">$D6*E6</f>
        <v>101.54</v>
      </c>
      <c r="P6" s="58" t="n">
        <f aca="false">$D6*F6</f>
        <v>101.54</v>
      </c>
      <c r="Q6" s="58" t="n">
        <f aca="false">$D6*G6</f>
        <v>101.54</v>
      </c>
      <c r="R6" s="58" t="n">
        <f aca="false">$D6*H6</f>
        <v>101.54</v>
      </c>
      <c r="S6" s="58" t="n">
        <f aca="false">$D6*I6</f>
        <v>101.54</v>
      </c>
      <c r="T6" s="58" t="n">
        <f aca="false">$D6*J6</f>
        <v>101.54</v>
      </c>
      <c r="U6" s="58" t="n">
        <f aca="false">$D6*K6</f>
        <v>101.54</v>
      </c>
      <c r="V6" s="58" t="n">
        <f aca="false">$D6*L6</f>
        <v>101.54</v>
      </c>
      <c r="W6" s="58" t="n">
        <f aca="false">$D6*M6</f>
        <v>101.54</v>
      </c>
      <c r="X6" s="58" t="n">
        <f aca="false">$D6*N6</f>
        <v>101.54</v>
      </c>
      <c r="Y6" s="94" t="n">
        <f aca="false">Z6/$Y$2</f>
        <v>0.0896442129425267</v>
      </c>
      <c r="Z6" s="58" t="n">
        <f aca="false">SUM(O6:X6)</f>
        <v>1015.4</v>
      </c>
    </row>
    <row r="7" customFormat="false" ht="15.75" hidden="false" customHeight="true" outlineLevel="0" collapsed="false">
      <c r="A7" s="60" t="n">
        <v>4</v>
      </c>
      <c r="B7" s="61" t="s">
        <v>177</v>
      </c>
      <c r="C7" s="62" t="s">
        <v>183</v>
      </c>
      <c r="D7" s="63" t="n">
        <f aca="false">VLOOKUP(C7,'[1]PREÇO ATUAL'!$A$1:$D$1048576,4,0)</f>
        <v>163</v>
      </c>
      <c r="E7" s="158"/>
      <c r="F7" s="64"/>
      <c r="G7" s="64"/>
      <c r="H7" s="64"/>
      <c r="I7" s="65"/>
      <c r="J7" s="65" t="n">
        <v>4</v>
      </c>
      <c r="K7" s="65"/>
      <c r="L7" s="65"/>
      <c r="M7" s="65"/>
      <c r="N7" s="97"/>
      <c r="O7" s="159" t="n">
        <f aca="false">$D7*E7</f>
        <v>0</v>
      </c>
      <c r="P7" s="66" t="n">
        <f aca="false">$D7*F7</f>
        <v>0</v>
      </c>
      <c r="Q7" s="66" t="n">
        <f aca="false">$D7*G7</f>
        <v>0</v>
      </c>
      <c r="R7" s="66" t="n">
        <f aca="false">$D7*H7</f>
        <v>0</v>
      </c>
      <c r="S7" s="66" t="n">
        <f aca="false">$D7*I7</f>
        <v>0</v>
      </c>
      <c r="T7" s="66" t="n">
        <f aca="false">$D7*J7</f>
        <v>652</v>
      </c>
      <c r="U7" s="66" t="n">
        <f aca="false">$D7*K7</f>
        <v>0</v>
      </c>
      <c r="V7" s="66" t="n">
        <f aca="false">$D7*L7</f>
        <v>0</v>
      </c>
      <c r="W7" s="66" t="n">
        <f aca="false">$D7*M7</f>
        <v>0</v>
      </c>
      <c r="X7" s="66" t="n">
        <f aca="false">$D7*N7</f>
        <v>0</v>
      </c>
      <c r="Y7" s="95" t="n">
        <f aca="false">Z7/$Y$2</f>
        <v>0.0575615785291781</v>
      </c>
      <c r="Z7" s="66" t="n">
        <f aca="false">SUM(O7:X7)</f>
        <v>652</v>
      </c>
    </row>
    <row r="8" customFormat="false" ht="15.75" hidden="false" customHeight="true" outlineLevel="0" collapsed="false">
      <c r="A8" s="52" t="n">
        <v>5</v>
      </c>
      <c r="B8" s="53" t="s">
        <v>178</v>
      </c>
      <c r="C8" s="54" t="s">
        <v>184</v>
      </c>
      <c r="D8" s="55" t="n">
        <f aca="false">VLOOKUP(C8,'[1]PREÇO ATUAL'!$A$1:$D$1048576,4,0)</f>
        <v>302.22</v>
      </c>
      <c r="E8" s="156"/>
      <c r="F8" s="56"/>
      <c r="G8" s="56"/>
      <c r="H8" s="56"/>
      <c r="I8" s="57"/>
      <c r="J8" s="57" t="n">
        <v>1</v>
      </c>
      <c r="K8" s="57"/>
      <c r="L8" s="57"/>
      <c r="M8" s="57"/>
      <c r="N8" s="96"/>
      <c r="O8" s="157" t="n">
        <f aca="false">$D8*E8</f>
        <v>0</v>
      </c>
      <c r="P8" s="58" t="n">
        <f aca="false">$D8*F8</f>
        <v>0</v>
      </c>
      <c r="Q8" s="58" t="n">
        <f aca="false">$D8*G8</f>
        <v>0</v>
      </c>
      <c r="R8" s="58" t="n">
        <f aca="false">$D8*H8</f>
        <v>0</v>
      </c>
      <c r="S8" s="58" t="n">
        <f aca="false">$D8*I8</f>
        <v>0</v>
      </c>
      <c r="T8" s="58" t="n">
        <f aca="false">$D8*J8</f>
        <v>302.22</v>
      </c>
      <c r="U8" s="58" t="n">
        <f aca="false">$D8*K8</f>
        <v>0</v>
      </c>
      <c r="V8" s="58" t="n">
        <f aca="false">$D8*L8</f>
        <v>0</v>
      </c>
      <c r="W8" s="58" t="n">
        <f aca="false">$D8*M8</f>
        <v>0</v>
      </c>
      <c r="X8" s="58" t="n">
        <f aca="false">$D8*N8</f>
        <v>0</v>
      </c>
      <c r="Y8" s="94" t="n">
        <f aca="false">Z8/$Y$2</f>
        <v>0.0266813807716077</v>
      </c>
      <c r="Z8" s="58" t="n">
        <f aca="false">SUM(O8:X8)</f>
        <v>302.22</v>
      </c>
    </row>
    <row r="9" customFormat="false" ht="15.75" hidden="false" customHeight="true" outlineLevel="0" collapsed="false">
      <c r="A9" s="60" t="n">
        <v>6</v>
      </c>
      <c r="B9" s="61" t="s">
        <v>179</v>
      </c>
      <c r="C9" s="62" t="s">
        <v>180</v>
      </c>
      <c r="D9" s="63" t="n">
        <f aca="false">VLOOKUP(C9,'[1]PREÇO ATUAL'!$A$1:$D$1048576,4,0)</f>
        <v>45.09</v>
      </c>
      <c r="E9" s="158"/>
      <c r="F9" s="64"/>
      <c r="G9" s="64"/>
      <c r="H9" s="64"/>
      <c r="I9" s="65"/>
      <c r="J9" s="65"/>
      <c r="K9" s="65"/>
      <c r="L9" s="65"/>
      <c r="M9" s="65"/>
      <c r="N9" s="97"/>
      <c r="O9" s="159" t="n">
        <f aca="false">$D9*E9</f>
        <v>0</v>
      </c>
      <c r="P9" s="66" t="n">
        <f aca="false">$D9*F9</f>
        <v>0</v>
      </c>
      <c r="Q9" s="66" t="n">
        <f aca="false">$D9*G9</f>
        <v>0</v>
      </c>
      <c r="R9" s="66" t="n">
        <f aca="false">$D9*H9</f>
        <v>0</v>
      </c>
      <c r="S9" s="66" t="n">
        <f aca="false">$D9*I9</f>
        <v>0</v>
      </c>
      <c r="T9" s="66" t="n">
        <f aca="false">$D9*J9</f>
        <v>0</v>
      </c>
      <c r="U9" s="66" t="n">
        <f aca="false">$D9*K9</f>
        <v>0</v>
      </c>
      <c r="V9" s="66" t="n">
        <f aca="false">$D9*L9</f>
        <v>0</v>
      </c>
      <c r="W9" s="66" t="n">
        <f aca="false">$D9*M9</f>
        <v>0</v>
      </c>
      <c r="X9" s="66" t="n">
        <f aca="false">$D9*N9</f>
        <v>0</v>
      </c>
      <c r="Y9" s="95" t="n">
        <f aca="false">Z9/$Y$2</f>
        <v>0</v>
      </c>
      <c r="Z9" s="66" t="n">
        <f aca="false">SUM(O9:X9)</f>
        <v>0</v>
      </c>
    </row>
    <row r="10" customFormat="false" ht="15.75" hidden="false" customHeight="true" outlineLevel="0" collapsed="false">
      <c r="A10" s="52" t="n">
        <v>7</v>
      </c>
      <c r="B10" s="53" t="s">
        <v>89</v>
      </c>
      <c r="C10" s="54" t="s">
        <v>90</v>
      </c>
      <c r="D10" s="55" t="n">
        <f aca="false">VLOOKUP(C10,'[1]PREÇO ATUAL'!$A$1:$D$1048576,4,0)</f>
        <v>75.7</v>
      </c>
      <c r="E10" s="160" t="n">
        <v>5.2</v>
      </c>
      <c r="F10" s="104" t="n">
        <v>5.2</v>
      </c>
      <c r="G10" s="104" t="n">
        <v>5.2</v>
      </c>
      <c r="H10" s="104" t="n">
        <v>5.2</v>
      </c>
      <c r="I10" s="104" t="n">
        <v>5.2</v>
      </c>
      <c r="J10" s="104" t="n">
        <v>5.2</v>
      </c>
      <c r="K10" s="104" t="n">
        <v>5.2</v>
      </c>
      <c r="L10" s="104" t="n">
        <v>5.2</v>
      </c>
      <c r="M10" s="104" t="n">
        <v>5.2</v>
      </c>
      <c r="N10" s="104" t="n">
        <v>5.2</v>
      </c>
      <c r="O10" s="157" t="n">
        <f aca="false">$D10*E10</f>
        <v>393.64</v>
      </c>
      <c r="P10" s="58" t="n">
        <f aca="false">$D10*F10</f>
        <v>393.64</v>
      </c>
      <c r="Q10" s="58" t="n">
        <f aca="false">$D10*G10</f>
        <v>393.64</v>
      </c>
      <c r="R10" s="58" t="n">
        <f aca="false">$D10*H10</f>
        <v>393.64</v>
      </c>
      <c r="S10" s="58" t="n">
        <f aca="false">$D10*I10</f>
        <v>393.64</v>
      </c>
      <c r="T10" s="58" t="n">
        <f aca="false">$D10*J10</f>
        <v>393.64</v>
      </c>
      <c r="U10" s="58" t="n">
        <f aca="false">$D10*K10</f>
        <v>393.64</v>
      </c>
      <c r="V10" s="58" t="n">
        <f aca="false">$D10*L10</f>
        <v>393.64</v>
      </c>
      <c r="W10" s="58" t="n">
        <f aca="false">$D10*M10</f>
        <v>393.64</v>
      </c>
      <c r="X10" s="58" t="n">
        <f aca="false">$D10*N10</f>
        <v>393.64</v>
      </c>
      <c r="Y10" s="94" t="n">
        <f aca="false">Z10/$Y$2</f>
        <v>0.34752361613843</v>
      </c>
      <c r="Z10" s="58" t="n">
        <f aca="false">SUM(O10:X10)</f>
        <v>3936.4</v>
      </c>
    </row>
    <row r="11" customFormat="false" ht="15.75" hidden="false" customHeight="true" outlineLevel="0" collapsed="false">
      <c r="A11" s="60" t="n">
        <v>8</v>
      </c>
      <c r="B11" s="61" t="s">
        <v>64</v>
      </c>
      <c r="C11" s="62" t="s">
        <v>65</v>
      </c>
      <c r="D11" s="63" t="n">
        <f aca="false">VLOOKUP(C11,'[1]PREÇO ATUAL'!$A$1:$D$1048576,4,0)</f>
        <v>342</v>
      </c>
      <c r="E11" s="161" t="n">
        <v>1.05</v>
      </c>
      <c r="F11" s="70" t="n">
        <v>1.05</v>
      </c>
      <c r="G11" s="70" t="n">
        <v>1.2</v>
      </c>
      <c r="H11" s="70" t="n">
        <v>1.3</v>
      </c>
      <c r="I11" s="63" t="n">
        <v>1.15</v>
      </c>
      <c r="J11" s="63" t="n">
        <v>2.4</v>
      </c>
      <c r="K11" s="63" t="n">
        <v>1.05</v>
      </c>
      <c r="L11" s="63" t="n">
        <v>1.3</v>
      </c>
      <c r="M11" s="63" t="n">
        <v>1.2</v>
      </c>
      <c r="N11" s="119" t="n">
        <v>1.15</v>
      </c>
      <c r="O11" s="159" t="n">
        <v>0</v>
      </c>
      <c r="P11" s="66" t="n">
        <f aca="false">$D11*F11</f>
        <v>359.1</v>
      </c>
      <c r="Q11" s="66" t="n">
        <f aca="false">$D11*G11</f>
        <v>410.4</v>
      </c>
      <c r="R11" s="66" t="n">
        <f aca="false">$D11*H11</f>
        <v>444.6</v>
      </c>
      <c r="S11" s="66" t="n">
        <f aca="false">$D11*I11</f>
        <v>393.3</v>
      </c>
      <c r="T11" s="66" t="n">
        <f aca="false">$D11*J11</f>
        <v>820.8</v>
      </c>
      <c r="U11" s="66" t="n">
        <f aca="false">$D11*K11</f>
        <v>359.1</v>
      </c>
      <c r="V11" s="66" t="n">
        <f aca="false">$D11*L11</f>
        <v>444.6</v>
      </c>
      <c r="W11" s="66" t="n">
        <f aca="false">$D11*M11</f>
        <v>410.4</v>
      </c>
      <c r="X11" s="66" t="n">
        <f aca="false">$D11*N11</f>
        <v>393.3</v>
      </c>
      <c r="Y11" s="95" t="n">
        <f aca="false">Z11/$Y$2</f>
        <v>0.356281451399311</v>
      </c>
      <c r="Z11" s="66" t="n">
        <f aca="false">SUM(O11:X11)</f>
        <v>4035.6</v>
      </c>
    </row>
    <row r="12" customFormat="false" ht="17.25" hidden="false" customHeight="true" outlineLevel="0" collapsed="false">
      <c r="A12" s="1"/>
      <c r="B12" s="1"/>
      <c r="C12" s="1"/>
      <c r="D12" s="1"/>
      <c r="E12" s="1"/>
      <c r="F12" s="1"/>
      <c r="G12" s="1"/>
      <c r="H12" s="163"/>
      <c r="I12" s="1"/>
      <c r="J12" s="1"/>
      <c r="K12" s="1"/>
      <c r="L12" s="1"/>
      <c r="M12" s="1"/>
      <c r="N12" s="1"/>
      <c r="O12" s="162"/>
      <c r="P12" s="162"/>
      <c r="Q12" s="162"/>
      <c r="R12" s="162"/>
      <c r="S12" s="162"/>
      <c r="T12" s="162"/>
      <c r="U12" s="162"/>
      <c r="V12" s="162"/>
      <c r="W12" s="162"/>
      <c r="X12" s="162"/>
    </row>
    <row r="13" customFormat="false" ht="15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customFormat="false" ht="15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customFormat="false" ht="15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customFormat="false" ht="15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customFormat="false" ht="15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customFormat="false" ht="15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customFormat="false" ht="15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customFormat="false" ht="15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customFormat="false" ht="15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customFormat="false" ht="15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customFormat="false" ht="15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customFormat="false" ht="15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customFormat="false" ht="15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customFormat="false" ht="15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customFormat="false" ht="15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customFormat="false" ht="15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customFormat="false" ht="15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customFormat="false" ht="15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customFormat="false" ht="15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customFormat="false" ht="15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</sheetData>
  <mergeCells count="5">
    <mergeCell ref="A1:D2"/>
    <mergeCell ref="E1:N2"/>
    <mergeCell ref="O1:X1"/>
    <mergeCell ref="Y1:Z1"/>
    <mergeCell ref="Y2:Z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O964"/>
  <sheetViews>
    <sheetView showFormulas="false" showGridLines="false" showRowColHeaders="true" showZeros="true" rightToLeft="false" tabSelected="false" showOutlineSymbols="true" defaultGridColor="true" view="normal" topLeftCell="A32" colorId="64" zoomScale="100" zoomScaleNormal="100" zoomScalePageLayoutView="100" workbookViewId="0">
      <pane xSplit="4" ySplit="0" topLeftCell="E32" activePane="topRight" state="frozen"/>
      <selection pane="topLeft" activeCell="A32" activeCellId="0" sqref="A32"/>
      <selection pane="topRight" activeCell="AJ48" activeCellId="0" sqref="AJ48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60.42"/>
    <col collapsed="false" customWidth="true" hidden="false" outlineLevel="0" max="3" min="3" style="0" width="16"/>
    <col collapsed="false" customWidth="true" hidden="false" outlineLevel="0" max="4" min="4" style="0" width="8.71"/>
    <col collapsed="false" customWidth="true" hidden="false" outlineLevel="0" max="19" min="5" style="0" width="5.14"/>
    <col collapsed="false" customWidth="true" hidden="true" outlineLevel="0" max="22" min="20" style="0" width="5.14"/>
    <col collapsed="false" customWidth="true" hidden="false" outlineLevel="0" max="25" min="23" style="0" width="15.71"/>
    <col collapsed="false" customWidth="true" hidden="false" outlineLevel="0" max="26" min="26" style="0" width="17.13"/>
    <col collapsed="false" customWidth="true" hidden="false" outlineLevel="0" max="27" min="27" style="0" width="16.87"/>
    <col collapsed="false" customWidth="true" hidden="false" outlineLevel="0" max="38" min="28" style="0" width="15.71"/>
    <col collapsed="false" customWidth="true" hidden="false" outlineLevel="0" max="39" min="39" style="0" width="13.7"/>
    <col collapsed="false" customWidth="true" hidden="false" outlineLevel="0" max="41" min="40" style="0" width="15.71"/>
    <col collapsed="false" customWidth="true" hidden="false" outlineLevel="0" max="42" min="42" style="0" width="13.7"/>
    <col collapsed="false" customWidth="true" hidden="false" outlineLevel="0" max="43" min="43" style="0" width="15.71"/>
  </cols>
  <sheetData>
    <row r="1" customFormat="false" ht="15.75" hidden="false" customHeight="true" outlineLevel="0" collapsed="false">
      <c r="A1" s="164" t="s">
        <v>185</v>
      </c>
      <c r="B1" s="164"/>
      <c r="C1" s="164"/>
      <c r="D1" s="164"/>
      <c r="E1" s="165" t="s">
        <v>29</v>
      </c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6" t="s">
        <v>30</v>
      </c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</row>
    <row r="2" customFormat="false" ht="15" hidden="false" customHeight="true" outlineLevel="0" collapsed="false">
      <c r="A2" s="167"/>
      <c r="B2" s="168"/>
      <c r="C2" s="168"/>
      <c r="D2" s="169"/>
      <c r="E2" s="170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43" t="n">
        <f aca="false">MROUND(SUM(W4:W11),1)</f>
        <v>861</v>
      </c>
      <c r="X2" s="43" t="n">
        <f aca="false">MROUND(SUM(X4:X11),1)</f>
        <v>992</v>
      </c>
      <c r="Y2" s="43" t="n">
        <f aca="false">MROUND(SUM(Y4:Y11),1)</f>
        <v>861</v>
      </c>
      <c r="Z2" s="43" t="n">
        <f aca="false">MROUND(SUM(Z4:Z11),1)</f>
        <v>1009</v>
      </c>
      <c r="AA2" s="43" t="n">
        <f aca="false">MROUND(SUM(AA4:AA11),1)</f>
        <v>895</v>
      </c>
      <c r="AB2" s="43" t="n">
        <f aca="false">MROUND(SUM(AB4:AB11),1)</f>
        <v>1783</v>
      </c>
      <c r="AC2" s="43" t="n">
        <f aca="false">MROUND(SUM(AC4:AC11),1)</f>
        <v>861</v>
      </c>
      <c r="AD2" s="43" t="n">
        <f aca="false">MROUND(SUM(AD4:AD11),1)</f>
        <v>1009</v>
      </c>
      <c r="AE2" s="43" t="n">
        <f aca="false">MROUND(SUM(AE4:AE11),1)</f>
        <v>861</v>
      </c>
      <c r="AF2" s="43" t="n">
        <f aca="false">MROUND(SUM(AF4:AF11),1)</f>
        <v>1026</v>
      </c>
      <c r="AG2" s="43" t="n">
        <f aca="false">MROUND(SUM(AG4:AG11),1)</f>
        <v>861</v>
      </c>
      <c r="AH2" s="43" t="n">
        <f aca="false">MROUND(SUM(AH4:AH11),1)</f>
        <v>1991</v>
      </c>
      <c r="AI2" s="43" t="n">
        <f aca="false">MROUND(SUM(AI4:AI11),1)</f>
        <v>861</v>
      </c>
      <c r="AJ2" s="43" t="n">
        <f aca="false">MROUND(SUM(AJ4:AJ11),1)</f>
        <v>992</v>
      </c>
      <c r="AK2" s="43" t="n">
        <f aca="false">MROUND(SUM(AK4:AK11),1)</f>
        <v>895</v>
      </c>
      <c r="AL2" s="43" t="n">
        <f aca="false">MROUND(SUM(AL4:AL11),1)</f>
        <v>1009</v>
      </c>
      <c r="AM2" s="43" t="n">
        <f aca="false">MROUND(SUM(AM4:AM11),1)</f>
        <v>861</v>
      </c>
      <c r="AN2" s="43" t="n">
        <f aca="false">MROUND(SUM(AN4:AN11),1)</f>
        <v>1783</v>
      </c>
      <c r="AO2" s="172"/>
    </row>
    <row r="3" customFormat="false" ht="15.75" hidden="false" customHeight="true" outlineLevel="0" collapsed="false">
      <c r="A3" s="45" t="s">
        <v>32</v>
      </c>
      <c r="B3" s="45" t="s">
        <v>33</v>
      </c>
      <c r="C3" s="46" t="s">
        <v>34</v>
      </c>
      <c r="D3" s="47" t="s">
        <v>35</v>
      </c>
      <c r="E3" s="48" t="s">
        <v>186</v>
      </c>
      <c r="F3" s="48" t="s">
        <v>187</v>
      </c>
      <c r="G3" s="48" t="s">
        <v>188</v>
      </c>
      <c r="H3" s="48" t="s">
        <v>189</v>
      </c>
      <c r="I3" s="48" t="s">
        <v>190</v>
      </c>
      <c r="J3" s="48" t="s">
        <v>191</v>
      </c>
      <c r="K3" s="48" t="s">
        <v>192</v>
      </c>
      <c r="L3" s="48" t="s">
        <v>193</v>
      </c>
      <c r="M3" s="48" t="s">
        <v>194</v>
      </c>
      <c r="N3" s="48" t="s">
        <v>195</v>
      </c>
      <c r="O3" s="48" t="s">
        <v>142</v>
      </c>
      <c r="P3" s="48" t="s">
        <v>143</v>
      </c>
      <c r="Q3" s="48" t="s">
        <v>144</v>
      </c>
      <c r="R3" s="48" t="s">
        <v>145</v>
      </c>
      <c r="S3" s="48" t="s">
        <v>146</v>
      </c>
      <c r="T3" s="48" t="s">
        <v>196</v>
      </c>
      <c r="U3" s="48" t="s">
        <v>197</v>
      </c>
      <c r="V3" s="48" t="s">
        <v>198</v>
      </c>
      <c r="W3" s="48" t="n">
        <v>10000</v>
      </c>
      <c r="X3" s="48" t="n">
        <v>20000</v>
      </c>
      <c r="Y3" s="48" t="n">
        <v>30000</v>
      </c>
      <c r="Z3" s="48" t="n">
        <v>40000</v>
      </c>
      <c r="AA3" s="48" t="n">
        <v>50000</v>
      </c>
      <c r="AB3" s="48" t="n">
        <v>60000</v>
      </c>
      <c r="AC3" s="48" t="n">
        <v>70000</v>
      </c>
      <c r="AD3" s="48" t="n">
        <v>80000</v>
      </c>
      <c r="AE3" s="48" t="n">
        <v>90000</v>
      </c>
      <c r="AF3" s="48" t="n">
        <v>100000</v>
      </c>
      <c r="AG3" s="48" t="n">
        <v>110000</v>
      </c>
      <c r="AH3" s="48" t="n">
        <v>120000</v>
      </c>
      <c r="AI3" s="48" t="n">
        <v>130000</v>
      </c>
      <c r="AJ3" s="48" t="n">
        <v>140000</v>
      </c>
      <c r="AK3" s="48" t="n">
        <v>150000</v>
      </c>
      <c r="AL3" s="48" t="n">
        <v>160000</v>
      </c>
      <c r="AM3" s="48" t="n">
        <v>170000</v>
      </c>
      <c r="AN3" s="48" t="n">
        <v>180000</v>
      </c>
    </row>
    <row r="4" customFormat="false" ht="15.75" hidden="false" customHeight="true" outlineLevel="0" collapsed="false">
      <c r="A4" s="52" t="n">
        <v>1</v>
      </c>
      <c r="B4" s="53" t="s">
        <v>199</v>
      </c>
      <c r="C4" s="54" t="s">
        <v>123</v>
      </c>
      <c r="D4" s="55" t="n">
        <f aca="false">VLOOKUP(C4,'[1]PREÇO ATUAL'!$A$1:$D$1048576,4,0)</f>
        <v>112.46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7" t="n">
        <v>1</v>
      </c>
      <c r="O4" s="57" t="n">
        <v>1</v>
      </c>
      <c r="P4" s="57" t="n">
        <v>1</v>
      </c>
      <c r="Q4" s="57" t="n">
        <v>1</v>
      </c>
      <c r="R4" s="57" t="n">
        <v>1</v>
      </c>
      <c r="S4" s="57" t="n">
        <v>1</v>
      </c>
      <c r="T4" s="57" t="n">
        <v>1</v>
      </c>
      <c r="U4" s="57" t="n">
        <v>1</v>
      </c>
      <c r="V4" s="57" t="n">
        <v>1</v>
      </c>
      <c r="W4" s="58" t="n">
        <f aca="false">$D4*E4</f>
        <v>112.46</v>
      </c>
      <c r="X4" s="58" t="n">
        <f aca="false">$D4*F4</f>
        <v>112.46</v>
      </c>
      <c r="Y4" s="58" t="n">
        <f aca="false">$D4*G4</f>
        <v>112.46</v>
      </c>
      <c r="Z4" s="58" t="n">
        <f aca="false">$D4*H4</f>
        <v>112.46</v>
      </c>
      <c r="AA4" s="58" t="n">
        <f aca="false">$D4*I4</f>
        <v>112.46</v>
      </c>
      <c r="AB4" s="58" t="n">
        <f aca="false">$D4*J4</f>
        <v>112.46</v>
      </c>
      <c r="AC4" s="58" t="n">
        <f aca="false">$D4*K4</f>
        <v>112.46</v>
      </c>
      <c r="AD4" s="58" t="n">
        <f aca="false">$D4*L4</f>
        <v>112.46</v>
      </c>
      <c r="AE4" s="58" t="n">
        <f aca="false">$D4*M4</f>
        <v>112.46</v>
      </c>
      <c r="AF4" s="58" t="n">
        <f aca="false">$D4*N4</f>
        <v>112.46</v>
      </c>
      <c r="AG4" s="58" t="n">
        <f aca="false">$D4*O4</f>
        <v>112.46</v>
      </c>
      <c r="AH4" s="58" t="n">
        <f aca="false">$D4*P4</f>
        <v>112.46</v>
      </c>
      <c r="AI4" s="58" t="n">
        <f aca="false">$D4*Q4</f>
        <v>112.46</v>
      </c>
      <c r="AJ4" s="58" t="n">
        <f aca="false">$D4*R4</f>
        <v>112.46</v>
      </c>
      <c r="AK4" s="58" t="n">
        <f aca="false">$D4*S4</f>
        <v>112.46</v>
      </c>
      <c r="AL4" s="58" t="n">
        <f aca="false">$D4*T4</f>
        <v>112.46</v>
      </c>
      <c r="AM4" s="58" t="n">
        <f aca="false">$D4*U4</f>
        <v>112.46</v>
      </c>
      <c r="AN4" s="58" t="n">
        <f aca="false">$D4*V4</f>
        <v>112.46</v>
      </c>
    </row>
    <row r="5" customFormat="false" ht="15.75" hidden="false" customHeight="true" outlineLevel="0" collapsed="false">
      <c r="A5" s="60" t="n">
        <v>2</v>
      </c>
      <c r="B5" s="61" t="s">
        <v>83</v>
      </c>
      <c r="C5" s="62" t="s">
        <v>124</v>
      </c>
      <c r="D5" s="63" t="n">
        <f aca="false">VLOOKUP(C5,'[1]PREÇO ATUAL'!$A$1:$D$1048576,4,0)</f>
        <v>35.9</v>
      </c>
      <c r="E5" s="64" t="n">
        <v>1</v>
      </c>
      <c r="F5" s="64" t="n">
        <v>1</v>
      </c>
      <c r="G5" s="64" t="n">
        <v>1</v>
      </c>
      <c r="H5" s="64" t="n">
        <v>1</v>
      </c>
      <c r="I5" s="65" t="n">
        <v>1</v>
      </c>
      <c r="J5" s="65" t="n">
        <v>1</v>
      </c>
      <c r="K5" s="65" t="n">
        <v>1</v>
      </c>
      <c r="L5" s="65" t="n">
        <v>1</v>
      </c>
      <c r="M5" s="65" t="n">
        <v>1</v>
      </c>
      <c r="N5" s="65" t="n">
        <v>1</v>
      </c>
      <c r="O5" s="65" t="n">
        <v>1</v>
      </c>
      <c r="P5" s="65" t="n">
        <v>1</v>
      </c>
      <c r="Q5" s="65" t="n">
        <v>1</v>
      </c>
      <c r="R5" s="65" t="n">
        <v>1</v>
      </c>
      <c r="S5" s="65" t="n">
        <v>1</v>
      </c>
      <c r="T5" s="65" t="n">
        <v>1</v>
      </c>
      <c r="U5" s="65" t="n">
        <v>1</v>
      </c>
      <c r="V5" s="65" t="n">
        <v>1</v>
      </c>
      <c r="W5" s="66" t="n">
        <f aca="false">$D5*E5</f>
        <v>35.9</v>
      </c>
      <c r="X5" s="66" t="n">
        <f aca="false">$D5*F5</f>
        <v>35.9</v>
      </c>
      <c r="Y5" s="66" t="n">
        <f aca="false">$D5*G5</f>
        <v>35.9</v>
      </c>
      <c r="Z5" s="66" t="n">
        <f aca="false">$D5*H5</f>
        <v>35.9</v>
      </c>
      <c r="AA5" s="66" t="n">
        <f aca="false">$D5*I5</f>
        <v>35.9</v>
      </c>
      <c r="AB5" s="66" t="n">
        <f aca="false">$D5*J5</f>
        <v>35.9</v>
      </c>
      <c r="AC5" s="66" t="n">
        <f aca="false">$D5*K5</f>
        <v>35.9</v>
      </c>
      <c r="AD5" s="66" t="n">
        <f aca="false">$D5*L5</f>
        <v>35.9</v>
      </c>
      <c r="AE5" s="66" t="n">
        <f aca="false">$D5*M5</f>
        <v>35.9</v>
      </c>
      <c r="AF5" s="66" t="n">
        <f aca="false">$D5*N5</f>
        <v>35.9</v>
      </c>
      <c r="AG5" s="66" t="n">
        <f aca="false">$D5*O5</f>
        <v>35.9</v>
      </c>
      <c r="AH5" s="66" t="n">
        <f aca="false">$D5*P5</f>
        <v>35.9</v>
      </c>
      <c r="AI5" s="66" t="n">
        <f aca="false">$D5*Q5</f>
        <v>35.9</v>
      </c>
      <c r="AJ5" s="66" t="n">
        <f aca="false">$D5*R5</f>
        <v>35.9</v>
      </c>
      <c r="AK5" s="66" t="n">
        <f aca="false">$D5*S5</f>
        <v>35.9</v>
      </c>
      <c r="AL5" s="66" t="n">
        <f aca="false">$D5*T5</f>
        <v>35.9</v>
      </c>
      <c r="AM5" s="66" t="n">
        <f aca="false">$D5*U5</f>
        <v>35.9</v>
      </c>
      <c r="AN5" s="66" t="n">
        <f aca="false">$D5*V5</f>
        <v>35.9</v>
      </c>
    </row>
    <row r="6" customFormat="false" ht="15.75" hidden="false" customHeight="true" outlineLevel="0" collapsed="false">
      <c r="A6" s="52" t="n">
        <v>3</v>
      </c>
      <c r="B6" s="53" t="s">
        <v>200</v>
      </c>
      <c r="C6" s="54" t="s">
        <v>161</v>
      </c>
      <c r="D6" s="55" t="n">
        <f aca="false">VLOOKUP(C6,'[1]PREÇO ATUAL'!$A$1:$D$1048576,4,0)</f>
        <v>114.17</v>
      </c>
      <c r="E6" s="56"/>
      <c r="F6" s="56" t="n">
        <v>1</v>
      </c>
      <c r="G6" s="56"/>
      <c r="H6" s="56" t="n">
        <v>1</v>
      </c>
      <c r="I6" s="57"/>
      <c r="J6" s="57" t="n">
        <v>1</v>
      </c>
      <c r="K6" s="57"/>
      <c r="L6" s="57" t="n">
        <v>1</v>
      </c>
      <c r="M6" s="57"/>
      <c r="N6" s="57" t="n">
        <v>1</v>
      </c>
      <c r="O6" s="57"/>
      <c r="P6" s="57" t="n">
        <v>1</v>
      </c>
      <c r="Q6" s="57"/>
      <c r="R6" s="57" t="n">
        <v>1</v>
      </c>
      <c r="S6" s="57"/>
      <c r="T6" s="57" t="n">
        <v>1</v>
      </c>
      <c r="U6" s="57"/>
      <c r="V6" s="57" t="n">
        <v>1</v>
      </c>
      <c r="W6" s="58" t="n">
        <f aca="false">$D6*E6</f>
        <v>0</v>
      </c>
      <c r="X6" s="58" t="n">
        <f aca="false">$D6*F6</f>
        <v>114.17</v>
      </c>
      <c r="Y6" s="58" t="n">
        <f aca="false">$D6*G6</f>
        <v>0</v>
      </c>
      <c r="Z6" s="58" t="n">
        <f aca="false">$D6*H6</f>
        <v>114.17</v>
      </c>
      <c r="AA6" s="58" t="n">
        <f aca="false">$D6*I6</f>
        <v>0</v>
      </c>
      <c r="AB6" s="58" t="n">
        <f aca="false">$D6*J6</f>
        <v>114.17</v>
      </c>
      <c r="AC6" s="58" t="n">
        <f aca="false">$D6*K6</f>
        <v>0</v>
      </c>
      <c r="AD6" s="58" t="n">
        <f aca="false">$D6*L6</f>
        <v>114.17</v>
      </c>
      <c r="AE6" s="58" t="n">
        <f aca="false">$D6*M6</f>
        <v>0</v>
      </c>
      <c r="AF6" s="58" t="n">
        <f aca="false">$D6*N6</f>
        <v>114.17</v>
      </c>
      <c r="AG6" s="58" t="n">
        <f aca="false">$D6*O6</f>
        <v>0</v>
      </c>
      <c r="AH6" s="58" t="n">
        <f aca="false">$D6*P6</f>
        <v>114.17</v>
      </c>
      <c r="AI6" s="58" t="n">
        <f aca="false">$D6*Q6</f>
        <v>0</v>
      </c>
      <c r="AJ6" s="58" t="n">
        <f aca="false">$D6*R6</f>
        <v>114.17</v>
      </c>
      <c r="AK6" s="58" t="n">
        <f aca="false">$D6*S6</f>
        <v>0</v>
      </c>
      <c r="AL6" s="58" t="n">
        <f aca="false">$D6*T6</f>
        <v>114.17</v>
      </c>
      <c r="AM6" s="58" t="n">
        <f aca="false">$D6*U6</f>
        <v>0</v>
      </c>
      <c r="AN6" s="58" t="n">
        <f aca="false">$D6*V6</f>
        <v>114.17</v>
      </c>
    </row>
    <row r="7" customFormat="false" ht="15.75" hidden="false" customHeight="true" outlineLevel="0" collapsed="false">
      <c r="A7" s="60" t="n">
        <v>4</v>
      </c>
      <c r="B7" s="61" t="s">
        <v>85</v>
      </c>
      <c r="C7" s="62" t="s">
        <v>126</v>
      </c>
      <c r="D7" s="63" t="n">
        <f aca="false">VLOOKUP(C7,'[1]PREÇO ATUAL'!$A$1:$D$1048576,4,0)</f>
        <v>155.01</v>
      </c>
      <c r="E7" s="64"/>
      <c r="F7" s="64"/>
      <c r="G7" s="64"/>
      <c r="H7" s="64"/>
      <c r="I7" s="65"/>
      <c r="J7" s="65" t="n">
        <v>4</v>
      </c>
      <c r="K7" s="65"/>
      <c r="L7" s="65"/>
      <c r="M7" s="65"/>
      <c r="N7" s="65"/>
      <c r="O7" s="65"/>
      <c r="P7" s="65" t="n">
        <v>4</v>
      </c>
      <c r="Q7" s="65"/>
      <c r="R7" s="65"/>
      <c r="S7" s="65"/>
      <c r="T7" s="65"/>
      <c r="U7" s="65"/>
      <c r="V7" s="65" t="n">
        <v>4</v>
      </c>
      <c r="W7" s="66" t="n">
        <f aca="false">$D7*E7</f>
        <v>0</v>
      </c>
      <c r="X7" s="66" t="n">
        <f aca="false">$D7*F7</f>
        <v>0</v>
      </c>
      <c r="Y7" s="66" t="n">
        <f aca="false">$D7*G7</f>
        <v>0</v>
      </c>
      <c r="Z7" s="66" t="n">
        <f aca="false">$D7*H7</f>
        <v>0</v>
      </c>
      <c r="AA7" s="66" t="n">
        <f aca="false">$D7*I7</f>
        <v>0</v>
      </c>
      <c r="AB7" s="66" t="n">
        <f aca="false">$D7*J7</f>
        <v>620.04</v>
      </c>
      <c r="AC7" s="66" t="n">
        <f aca="false">$D7*K7</f>
        <v>0</v>
      </c>
      <c r="AD7" s="66" t="n">
        <f aca="false">$D7*L7</f>
        <v>0</v>
      </c>
      <c r="AE7" s="66" t="n">
        <f aca="false">$D7*M7</f>
        <v>0</v>
      </c>
      <c r="AF7" s="66" t="n">
        <f aca="false">$D7*N7</f>
        <v>0</v>
      </c>
      <c r="AG7" s="66" t="n">
        <f aca="false">$D7*O7</f>
        <v>0</v>
      </c>
      <c r="AH7" s="66" t="n">
        <f aca="false">$D7*P7</f>
        <v>620.04</v>
      </c>
      <c r="AI7" s="66" t="n">
        <f aca="false">$D7*Q7</f>
        <v>0</v>
      </c>
      <c r="AJ7" s="66" t="n">
        <f aca="false">$D7*R7</f>
        <v>0</v>
      </c>
      <c r="AK7" s="66" t="n">
        <f aca="false">$D7*S7</f>
        <v>0</v>
      </c>
      <c r="AL7" s="66" t="n">
        <f aca="false">$D7*T7</f>
        <v>0</v>
      </c>
      <c r="AM7" s="66" t="n">
        <f aca="false">$D7*U7</f>
        <v>0</v>
      </c>
      <c r="AN7" s="66" t="n">
        <f aca="false">$D7*V7</f>
        <v>620.04</v>
      </c>
    </row>
    <row r="8" customFormat="false" ht="15.75" hidden="false" customHeight="true" outlineLevel="0" collapsed="false">
      <c r="A8" s="52" t="n">
        <v>5</v>
      </c>
      <c r="B8" s="53" t="s">
        <v>201</v>
      </c>
      <c r="C8" s="54" t="s">
        <v>166</v>
      </c>
      <c r="D8" s="55" t="n">
        <f aca="false">VLOOKUP(C8,'[1]PREÇO ATUAL'!$A$1:$D$1048576,4,0)</f>
        <v>88.64</v>
      </c>
      <c r="E8" s="56"/>
      <c r="F8" s="56"/>
      <c r="G8" s="56"/>
      <c r="H8" s="56"/>
      <c r="I8" s="57"/>
      <c r="J8" s="57"/>
      <c r="K8" s="57"/>
      <c r="L8" s="57"/>
      <c r="M8" s="57"/>
      <c r="N8" s="57"/>
      <c r="O8" s="57"/>
      <c r="P8" s="57" t="n">
        <v>1</v>
      </c>
      <c r="Q8" s="57"/>
      <c r="R8" s="57"/>
      <c r="S8" s="57"/>
      <c r="T8" s="57"/>
      <c r="U8" s="57"/>
      <c r="V8" s="57"/>
      <c r="W8" s="58" t="n">
        <f aca="false">$D8*E8</f>
        <v>0</v>
      </c>
      <c r="X8" s="58" t="n">
        <f aca="false">$D8*F8</f>
        <v>0</v>
      </c>
      <c r="Y8" s="58" t="n">
        <f aca="false">$D8*G8</f>
        <v>0</v>
      </c>
      <c r="Z8" s="58" t="n">
        <f aca="false">$D8*H8</f>
        <v>0</v>
      </c>
      <c r="AA8" s="58" t="n">
        <f aca="false">$D8*I8</f>
        <v>0</v>
      </c>
      <c r="AB8" s="58" t="n">
        <f aca="false">$D8*J8</f>
        <v>0</v>
      </c>
      <c r="AC8" s="58" t="n">
        <f aca="false">$D8*K8</f>
        <v>0</v>
      </c>
      <c r="AD8" s="58" t="n">
        <f aca="false">$D8*L8</f>
        <v>0</v>
      </c>
      <c r="AE8" s="58" t="n">
        <f aca="false">$D8*M8</f>
        <v>0</v>
      </c>
      <c r="AF8" s="58" t="n">
        <f aca="false">$D8*N8</f>
        <v>0</v>
      </c>
      <c r="AG8" s="58" t="n">
        <f aca="false">$D8*O8</f>
        <v>0</v>
      </c>
      <c r="AH8" s="58" t="n">
        <f aca="false">$D8*P8</f>
        <v>88.64</v>
      </c>
      <c r="AI8" s="58" t="n">
        <f aca="false">$D8*Q8</f>
        <v>0</v>
      </c>
      <c r="AJ8" s="58" t="n">
        <f aca="false">$D8*R8</f>
        <v>0</v>
      </c>
      <c r="AK8" s="58" t="n">
        <f aca="false">$D8*S8</f>
        <v>0</v>
      </c>
      <c r="AL8" s="58" t="n">
        <f aca="false">$D8*T8</f>
        <v>0</v>
      </c>
      <c r="AM8" s="58" t="n">
        <f aca="false">$D8*U8</f>
        <v>0</v>
      </c>
      <c r="AN8" s="58" t="n">
        <f aca="false">$D8*V8</f>
        <v>0</v>
      </c>
    </row>
    <row r="9" customFormat="false" ht="15.75" hidden="false" customHeight="true" outlineLevel="0" collapsed="false">
      <c r="A9" s="60" t="n">
        <v>6</v>
      </c>
      <c r="B9" s="61" t="s">
        <v>179</v>
      </c>
      <c r="C9" s="62" t="s">
        <v>180</v>
      </c>
      <c r="D9" s="63" t="n">
        <f aca="false">VLOOKUP(C9,'[1]PREÇO ATUAL'!$A$1:$D$1048576,4,0)</f>
        <v>45.09</v>
      </c>
      <c r="E9" s="64"/>
      <c r="F9" s="64"/>
      <c r="G9" s="64"/>
      <c r="H9" s="64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6" t="n">
        <f aca="false">$D9*E9</f>
        <v>0</v>
      </c>
      <c r="X9" s="66" t="n">
        <f aca="false">$D9*F9</f>
        <v>0</v>
      </c>
      <c r="Y9" s="66" t="n">
        <f aca="false">$D9*G9</f>
        <v>0</v>
      </c>
      <c r="Z9" s="66" t="n">
        <f aca="false">$D9*H9</f>
        <v>0</v>
      </c>
      <c r="AA9" s="66" t="n">
        <f aca="false">$D9*I9</f>
        <v>0</v>
      </c>
      <c r="AB9" s="66" t="n">
        <f aca="false">$D9*J9</f>
        <v>0</v>
      </c>
      <c r="AC9" s="66" t="n">
        <f aca="false">$D9*K9</f>
        <v>0</v>
      </c>
      <c r="AD9" s="66" t="n">
        <f aca="false">$D9*L9</f>
        <v>0</v>
      </c>
      <c r="AE9" s="66" t="n">
        <f aca="false">$D9*M9</f>
        <v>0</v>
      </c>
      <c r="AF9" s="66" t="n">
        <f aca="false">$D9*N9</f>
        <v>0</v>
      </c>
      <c r="AG9" s="66" t="n">
        <f aca="false">$D9*O9</f>
        <v>0</v>
      </c>
      <c r="AH9" s="66" t="n">
        <f aca="false">$D9*P9</f>
        <v>0</v>
      </c>
      <c r="AI9" s="66" t="n">
        <f aca="false">$D9*Q9</f>
        <v>0</v>
      </c>
      <c r="AJ9" s="66" t="n">
        <f aca="false">$D9*R9</f>
        <v>0</v>
      </c>
      <c r="AK9" s="66" t="n">
        <f aca="false">$D9*S9</f>
        <v>0</v>
      </c>
      <c r="AL9" s="66" t="n">
        <f aca="false">$D9*T9</f>
        <v>0</v>
      </c>
      <c r="AM9" s="66" t="n">
        <f aca="false">$D9*U9</f>
        <v>0</v>
      </c>
      <c r="AN9" s="66" t="n">
        <f aca="false">$D9*V9</f>
        <v>0</v>
      </c>
    </row>
    <row r="10" customFormat="false" ht="15.75" hidden="false" customHeight="true" outlineLevel="0" collapsed="false">
      <c r="A10" s="52" t="n">
        <v>7</v>
      </c>
      <c r="B10" s="53" t="s">
        <v>127</v>
      </c>
      <c r="C10" s="54" t="s">
        <v>128</v>
      </c>
      <c r="D10" s="55" t="n">
        <f aca="false">VLOOKUP(C10,'[1]PREÇO ATUAL'!$A$1:$D$1048576,4,0)</f>
        <v>87.82</v>
      </c>
      <c r="E10" s="104" t="n">
        <v>4.8</v>
      </c>
      <c r="F10" s="104" t="n">
        <v>4.8</v>
      </c>
      <c r="G10" s="104" t="n">
        <v>4.8</v>
      </c>
      <c r="H10" s="104" t="n">
        <v>4.8</v>
      </c>
      <c r="I10" s="104" t="n">
        <v>4.8</v>
      </c>
      <c r="J10" s="104" t="n">
        <v>4.8</v>
      </c>
      <c r="K10" s="104" t="n">
        <v>4.8</v>
      </c>
      <c r="L10" s="104" t="n">
        <v>4.8</v>
      </c>
      <c r="M10" s="104" t="n">
        <v>4.8</v>
      </c>
      <c r="N10" s="104" t="n">
        <v>4.8</v>
      </c>
      <c r="O10" s="104" t="n">
        <v>4.8</v>
      </c>
      <c r="P10" s="104" t="n">
        <v>4.8</v>
      </c>
      <c r="Q10" s="104" t="n">
        <v>4.8</v>
      </c>
      <c r="R10" s="104" t="n">
        <v>4.8</v>
      </c>
      <c r="S10" s="104" t="n">
        <v>4.8</v>
      </c>
      <c r="T10" s="104" t="n">
        <v>4.8</v>
      </c>
      <c r="U10" s="104" t="n">
        <v>4.8</v>
      </c>
      <c r="V10" s="104" t="n">
        <v>4.8</v>
      </c>
      <c r="W10" s="58" t="n">
        <f aca="false">$D10*E10</f>
        <v>421.536</v>
      </c>
      <c r="X10" s="58" t="n">
        <f aca="false">$D10*F10</f>
        <v>421.536</v>
      </c>
      <c r="Y10" s="58" t="n">
        <f aca="false">$D10*G10</f>
        <v>421.536</v>
      </c>
      <c r="Z10" s="58" t="n">
        <f aca="false">$D10*H10</f>
        <v>421.536</v>
      </c>
      <c r="AA10" s="58" t="n">
        <f aca="false">$D10*I10</f>
        <v>421.536</v>
      </c>
      <c r="AB10" s="58" t="n">
        <f aca="false">$D10*J10</f>
        <v>421.536</v>
      </c>
      <c r="AC10" s="58" t="n">
        <f aca="false">$D10*K10</f>
        <v>421.536</v>
      </c>
      <c r="AD10" s="58" t="n">
        <f aca="false">$D10*L10</f>
        <v>421.536</v>
      </c>
      <c r="AE10" s="58" t="n">
        <f aca="false">$D10*M10</f>
        <v>421.536</v>
      </c>
      <c r="AF10" s="58" t="n">
        <f aca="false">$D10*N10</f>
        <v>421.536</v>
      </c>
      <c r="AG10" s="58" t="n">
        <f aca="false">$D10*O10</f>
        <v>421.536</v>
      </c>
      <c r="AH10" s="58" t="n">
        <f aca="false">$D10*P10</f>
        <v>421.536</v>
      </c>
      <c r="AI10" s="58" t="n">
        <f aca="false">$D10*Q10</f>
        <v>421.536</v>
      </c>
      <c r="AJ10" s="58" t="n">
        <f aca="false">$D10*R10</f>
        <v>421.536</v>
      </c>
      <c r="AK10" s="58" t="n">
        <f aca="false">$D10*S10</f>
        <v>421.536</v>
      </c>
      <c r="AL10" s="58" t="n">
        <f aca="false">$D10*T10</f>
        <v>421.536</v>
      </c>
      <c r="AM10" s="58" t="n">
        <f aca="false">$D10*U10</f>
        <v>421.536</v>
      </c>
      <c r="AN10" s="58" t="n">
        <f aca="false">$D10*V10</f>
        <v>421.536</v>
      </c>
    </row>
    <row r="11" customFormat="false" ht="15.75" hidden="false" customHeight="true" outlineLevel="0" collapsed="false">
      <c r="A11" s="60" t="n">
        <v>8</v>
      </c>
      <c r="B11" s="61" t="s">
        <v>64</v>
      </c>
      <c r="C11" s="62" t="s">
        <v>65</v>
      </c>
      <c r="D11" s="63" t="n">
        <f aca="false">VLOOKUP(C11,'[1]PREÇO ATUAL'!$A$1:$D$1048576,4,0)</f>
        <v>342</v>
      </c>
      <c r="E11" s="70" t="n">
        <v>0.85</v>
      </c>
      <c r="F11" s="70" t="n">
        <v>0.9</v>
      </c>
      <c r="G11" s="70" t="n">
        <v>0.85</v>
      </c>
      <c r="H11" s="70" t="n">
        <v>0.95</v>
      </c>
      <c r="I11" s="63" t="n">
        <v>0.95</v>
      </c>
      <c r="J11" s="63" t="n">
        <v>1.4</v>
      </c>
      <c r="K11" s="63" t="n">
        <v>0.85</v>
      </c>
      <c r="L11" s="63" t="n">
        <v>0.95</v>
      </c>
      <c r="M11" s="63" t="n">
        <v>0.85</v>
      </c>
      <c r="N11" s="63" t="n">
        <v>1</v>
      </c>
      <c r="O11" s="63" t="n">
        <v>0.85</v>
      </c>
      <c r="P11" s="63" t="n">
        <v>1.75</v>
      </c>
      <c r="Q11" s="63" t="n">
        <v>0.85</v>
      </c>
      <c r="R11" s="63" t="n">
        <v>0.9</v>
      </c>
      <c r="S11" s="63" t="n">
        <v>0.95</v>
      </c>
      <c r="T11" s="63" t="n">
        <v>0.95</v>
      </c>
      <c r="U11" s="63" t="n">
        <v>0.85</v>
      </c>
      <c r="V11" s="63" t="n">
        <v>1.4</v>
      </c>
      <c r="W11" s="66" t="n">
        <f aca="false">D11*E11</f>
        <v>290.7</v>
      </c>
      <c r="X11" s="66" t="n">
        <f aca="false">$D11*F11</f>
        <v>307.8</v>
      </c>
      <c r="Y11" s="66" t="n">
        <f aca="false">$D11*G11</f>
        <v>290.7</v>
      </c>
      <c r="Z11" s="66" t="n">
        <f aca="false">$D11*H11</f>
        <v>324.9</v>
      </c>
      <c r="AA11" s="66" t="n">
        <f aca="false">$D11*I11</f>
        <v>324.9</v>
      </c>
      <c r="AB11" s="66" t="n">
        <f aca="false">$D11*J11</f>
        <v>478.8</v>
      </c>
      <c r="AC11" s="66" t="n">
        <f aca="false">$D11*K11</f>
        <v>290.7</v>
      </c>
      <c r="AD11" s="66" t="n">
        <f aca="false">$D11*L11</f>
        <v>324.9</v>
      </c>
      <c r="AE11" s="66" t="n">
        <f aca="false">$D11*M11</f>
        <v>290.7</v>
      </c>
      <c r="AF11" s="66" t="n">
        <f aca="false">$D11*N11</f>
        <v>342</v>
      </c>
      <c r="AG11" s="66" t="n">
        <f aca="false">$D11*O11</f>
        <v>290.7</v>
      </c>
      <c r="AH11" s="66" t="n">
        <f aca="false">$D11*P11</f>
        <v>598.5</v>
      </c>
      <c r="AI11" s="66" t="n">
        <f aca="false">$D11*Q11</f>
        <v>290.7</v>
      </c>
      <c r="AJ11" s="66" t="n">
        <f aca="false">$D11*R11</f>
        <v>307.8</v>
      </c>
      <c r="AK11" s="66" t="n">
        <f aca="false">$D11*S11</f>
        <v>324.9</v>
      </c>
      <c r="AL11" s="66" t="n">
        <f aca="false">$D11*T11</f>
        <v>324.9</v>
      </c>
      <c r="AM11" s="66" t="n">
        <f aca="false">$D11*U11</f>
        <v>290.7</v>
      </c>
      <c r="AN11" s="66" t="n">
        <f aca="false">$D11*V11</f>
        <v>478.8</v>
      </c>
    </row>
    <row r="12" customFormat="false" ht="17.25" hidden="false" customHeight="true" outlineLevel="0" collapsed="false">
      <c r="A12" s="1"/>
      <c r="B12" s="1"/>
      <c r="C12" s="1"/>
      <c r="D12" s="1"/>
      <c r="E12" s="1"/>
      <c r="F12" s="1"/>
      <c r="G12" s="1"/>
      <c r="H12" s="163"/>
      <c r="I12" s="1"/>
      <c r="J12" s="1"/>
      <c r="K12" s="1"/>
      <c r="L12" s="1"/>
      <c r="M12" s="1"/>
      <c r="N12" s="1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</row>
    <row r="13" customFormat="false" ht="15.75" hidden="false" customHeight="true" outlineLevel="0" collapsed="false">
      <c r="A13" s="164" t="s">
        <v>202</v>
      </c>
      <c r="B13" s="164"/>
      <c r="C13" s="164"/>
      <c r="D13" s="164"/>
      <c r="E13" s="173" t="s">
        <v>29</v>
      </c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4" t="s">
        <v>30</v>
      </c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</row>
    <row r="14" customFormat="false" ht="15" hidden="false" customHeight="true" outlineLevel="0" collapsed="false">
      <c r="A14" s="167"/>
      <c r="B14" s="168"/>
      <c r="C14" s="168"/>
      <c r="D14" s="169"/>
      <c r="E14" s="170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5"/>
      <c r="T14" s="175"/>
      <c r="U14" s="175"/>
      <c r="V14" s="175"/>
      <c r="W14" s="44" t="n">
        <f aca="false">MROUND(SUM(W16:W24),1)</f>
        <v>1143</v>
      </c>
      <c r="X14" s="43" t="n">
        <f aca="false">MROUND(SUM(X16:X24),1)</f>
        <v>1274</v>
      </c>
      <c r="Y14" s="43" t="n">
        <f aca="false">MROUND(SUM(Y16:Y24),1)</f>
        <v>1143</v>
      </c>
      <c r="Z14" s="43" t="n">
        <f aca="false">MROUND(SUM(Z16:Z24),1)</f>
        <v>1154</v>
      </c>
      <c r="AA14" s="43" t="n">
        <f aca="false">MROUND(SUM(AA16:AA24),1)</f>
        <v>1177</v>
      </c>
      <c r="AB14" s="43" t="n">
        <f aca="false">MROUND(SUM(AB16:AB24),1)</f>
        <v>2065</v>
      </c>
      <c r="AC14" s="43" t="n">
        <f aca="false">MROUND(SUM(AC16:AC24),1)</f>
        <v>1143</v>
      </c>
      <c r="AD14" s="43" t="n">
        <f aca="false">MROUND(SUM(AD16:AD24),1)</f>
        <v>1154</v>
      </c>
      <c r="AE14" s="43" t="n">
        <f aca="false">MROUND(SUM(AE16:AE24),1)</f>
        <v>1143</v>
      </c>
      <c r="AF14" s="43" t="n">
        <f aca="false">MROUND(SUM(AF16:AF24),1)</f>
        <v>1308</v>
      </c>
      <c r="AG14" s="43" t="n">
        <f aca="false">MROUND(SUM(AG16:AG24),1)</f>
        <v>1143</v>
      </c>
      <c r="AH14" s="43" t="n">
        <f aca="false">MROUND(SUM(AH16:AH24),1)</f>
        <v>2185</v>
      </c>
      <c r="AI14" s="43" t="n">
        <f aca="false">MROUND(SUM(AI16:AI24),1)</f>
        <v>1143</v>
      </c>
      <c r="AJ14" s="43" t="n">
        <f aca="false">MROUND(SUM(AJ16:AJ24),1)</f>
        <v>1274</v>
      </c>
      <c r="AK14" s="43" t="n">
        <f aca="false">MROUND(SUM(AK16:AK24),1)</f>
        <v>1177</v>
      </c>
      <c r="AL14" s="172"/>
    </row>
    <row r="15" customFormat="false" ht="15.75" hidden="false" customHeight="true" outlineLevel="0" collapsed="false">
      <c r="A15" s="45" t="s">
        <v>32</v>
      </c>
      <c r="B15" s="45" t="s">
        <v>33</v>
      </c>
      <c r="C15" s="46" t="s">
        <v>34</v>
      </c>
      <c r="D15" s="47" t="s">
        <v>35</v>
      </c>
      <c r="E15" s="48" t="s">
        <v>186</v>
      </c>
      <c r="F15" s="48" t="s">
        <v>187</v>
      </c>
      <c r="G15" s="48" t="s">
        <v>188</v>
      </c>
      <c r="H15" s="48" t="s">
        <v>189</v>
      </c>
      <c r="I15" s="48" t="s">
        <v>190</v>
      </c>
      <c r="J15" s="48" t="s">
        <v>191</v>
      </c>
      <c r="K15" s="48" t="s">
        <v>192</v>
      </c>
      <c r="L15" s="48" t="s">
        <v>193</v>
      </c>
      <c r="M15" s="48" t="s">
        <v>194</v>
      </c>
      <c r="N15" s="48" t="s">
        <v>195</v>
      </c>
      <c r="O15" s="48" t="s">
        <v>142</v>
      </c>
      <c r="P15" s="48" t="s">
        <v>143</v>
      </c>
      <c r="Q15" s="48" t="s">
        <v>144</v>
      </c>
      <c r="R15" s="48" t="s">
        <v>145</v>
      </c>
      <c r="S15" s="48" t="s">
        <v>146</v>
      </c>
      <c r="T15" s="48" t="s">
        <v>196</v>
      </c>
      <c r="U15" s="48" t="s">
        <v>197</v>
      </c>
      <c r="V15" s="48" t="s">
        <v>198</v>
      </c>
      <c r="W15" s="48" t="n">
        <v>10000</v>
      </c>
      <c r="X15" s="48" t="n">
        <v>20000</v>
      </c>
      <c r="Y15" s="48" t="n">
        <v>30000</v>
      </c>
      <c r="Z15" s="48" t="n">
        <v>40000</v>
      </c>
      <c r="AA15" s="48" t="n">
        <v>50000</v>
      </c>
      <c r="AB15" s="48" t="n">
        <v>60000</v>
      </c>
      <c r="AC15" s="48" t="n">
        <v>70000</v>
      </c>
      <c r="AD15" s="48" t="n">
        <v>80000</v>
      </c>
      <c r="AE15" s="48" t="n">
        <v>90000</v>
      </c>
      <c r="AF15" s="48" t="n">
        <f aca="false">AE15+10000</f>
        <v>100000</v>
      </c>
      <c r="AG15" s="48" t="n">
        <f aca="false">AF15+10000</f>
        <v>110000</v>
      </c>
      <c r="AH15" s="48" t="n">
        <f aca="false">AG15+10000</f>
        <v>120000</v>
      </c>
      <c r="AI15" s="48" t="n">
        <f aca="false">AH15+10000</f>
        <v>130000</v>
      </c>
      <c r="AJ15" s="48" t="n">
        <f aca="false">AI15+10000</f>
        <v>140000</v>
      </c>
      <c r="AK15" s="48" t="n">
        <f aca="false">AJ15+10000</f>
        <v>150000</v>
      </c>
    </row>
    <row r="16" customFormat="false" ht="15.75" hidden="false" customHeight="true" outlineLevel="0" collapsed="false">
      <c r="A16" s="52" t="n">
        <v>1</v>
      </c>
      <c r="B16" s="53" t="s">
        <v>199</v>
      </c>
      <c r="C16" s="54" t="s">
        <v>123</v>
      </c>
      <c r="D16" s="55" t="n">
        <f aca="false">VLOOKUP(C16,'[1]PREÇO ATUAL'!$A$1:$D$1048576,4,0)</f>
        <v>112.46</v>
      </c>
      <c r="E16" s="56" t="n">
        <v>1</v>
      </c>
      <c r="F16" s="56" t="n">
        <v>1</v>
      </c>
      <c r="G16" s="56" t="n">
        <v>1</v>
      </c>
      <c r="H16" s="56" t="n">
        <v>1</v>
      </c>
      <c r="I16" s="57" t="n">
        <v>1</v>
      </c>
      <c r="J16" s="57" t="n">
        <v>1</v>
      </c>
      <c r="K16" s="57" t="n">
        <v>1</v>
      </c>
      <c r="L16" s="57" t="n">
        <v>1</v>
      </c>
      <c r="M16" s="57" t="n">
        <v>1</v>
      </c>
      <c r="N16" s="57" t="n">
        <v>1</v>
      </c>
      <c r="O16" s="57" t="n">
        <v>1</v>
      </c>
      <c r="P16" s="57" t="n">
        <v>1</v>
      </c>
      <c r="Q16" s="57" t="n">
        <v>1</v>
      </c>
      <c r="R16" s="57" t="n">
        <v>1</v>
      </c>
      <c r="S16" s="57" t="n">
        <v>1</v>
      </c>
      <c r="T16" s="57"/>
      <c r="U16" s="57"/>
      <c r="V16" s="57"/>
      <c r="W16" s="58" t="n">
        <f aca="false">$D16*E16</f>
        <v>112.46</v>
      </c>
      <c r="X16" s="58" t="n">
        <f aca="false">$D16*F16</f>
        <v>112.46</v>
      </c>
      <c r="Y16" s="58" t="n">
        <f aca="false">$D16*G16</f>
        <v>112.46</v>
      </c>
      <c r="Z16" s="58" t="n">
        <f aca="false">$D16*H16</f>
        <v>112.46</v>
      </c>
      <c r="AA16" s="58" t="n">
        <f aca="false">$D16*I16</f>
        <v>112.46</v>
      </c>
      <c r="AB16" s="58" t="n">
        <f aca="false">$D16*J16</f>
        <v>112.46</v>
      </c>
      <c r="AC16" s="58" t="n">
        <f aca="false">$D16*K16</f>
        <v>112.46</v>
      </c>
      <c r="AD16" s="58" t="n">
        <f aca="false">$D16*L16</f>
        <v>112.46</v>
      </c>
      <c r="AE16" s="58" t="n">
        <f aca="false">$D16*M16</f>
        <v>112.46</v>
      </c>
      <c r="AF16" s="58" t="n">
        <f aca="false">$D16*N16</f>
        <v>112.46</v>
      </c>
      <c r="AG16" s="58" t="n">
        <f aca="false">$D16*O16</f>
        <v>112.46</v>
      </c>
      <c r="AH16" s="58" t="n">
        <f aca="false">$D16*P16</f>
        <v>112.46</v>
      </c>
      <c r="AI16" s="58" t="n">
        <f aca="false">$D16*Q16</f>
        <v>112.46</v>
      </c>
      <c r="AJ16" s="58" t="n">
        <f aca="false">$D16*R16</f>
        <v>112.46</v>
      </c>
      <c r="AK16" s="58" t="n">
        <f aca="false">$D16*S16</f>
        <v>112.46</v>
      </c>
    </row>
    <row r="17" customFormat="false" ht="15.75" hidden="false" customHeight="true" outlineLevel="0" collapsed="false">
      <c r="A17" s="60" t="n">
        <v>2</v>
      </c>
      <c r="B17" s="61" t="s">
        <v>83</v>
      </c>
      <c r="C17" s="62" t="s">
        <v>124</v>
      </c>
      <c r="D17" s="63" t="n">
        <f aca="false">VLOOKUP(C17,'[1]PREÇO ATUAL'!$A$1:$D$1048576,4,0)</f>
        <v>35.9</v>
      </c>
      <c r="E17" s="64" t="n">
        <v>1</v>
      </c>
      <c r="F17" s="64" t="n">
        <v>1</v>
      </c>
      <c r="G17" s="64" t="n">
        <v>1</v>
      </c>
      <c r="H17" s="64" t="n">
        <v>1</v>
      </c>
      <c r="I17" s="65" t="n">
        <v>1</v>
      </c>
      <c r="J17" s="65" t="n">
        <v>1</v>
      </c>
      <c r="K17" s="65" t="n">
        <v>1</v>
      </c>
      <c r="L17" s="65" t="n">
        <v>1</v>
      </c>
      <c r="M17" s="65" t="n">
        <v>1</v>
      </c>
      <c r="N17" s="65" t="n">
        <v>1</v>
      </c>
      <c r="O17" s="65" t="n">
        <v>1</v>
      </c>
      <c r="P17" s="65" t="n">
        <v>1</v>
      </c>
      <c r="Q17" s="65" t="n">
        <v>1</v>
      </c>
      <c r="R17" s="65" t="n">
        <v>1</v>
      </c>
      <c r="S17" s="65" t="n">
        <v>1</v>
      </c>
      <c r="T17" s="65"/>
      <c r="U17" s="65"/>
      <c r="V17" s="65"/>
      <c r="W17" s="66" t="n">
        <f aca="false">$D17*E17</f>
        <v>35.9</v>
      </c>
      <c r="X17" s="66" t="n">
        <f aca="false">$D17*F17</f>
        <v>35.9</v>
      </c>
      <c r="Y17" s="66" t="n">
        <f aca="false">$D17*G17</f>
        <v>35.9</v>
      </c>
      <c r="Z17" s="66" t="n">
        <f aca="false">$D17*H17</f>
        <v>35.9</v>
      </c>
      <c r="AA17" s="66" t="n">
        <f aca="false">$D17*I17</f>
        <v>35.9</v>
      </c>
      <c r="AB17" s="66" t="n">
        <f aca="false">$D17*J17</f>
        <v>35.9</v>
      </c>
      <c r="AC17" s="66" t="n">
        <f aca="false">$D17*K17</f>
        <v>35.9</v>
      </c>
      <c r="AD17" s="66" t="n">
        <f aca="false">$D17*L17</f>
        <v>35.9</v>
      </c>
      <c r="AE17" s="66" t="n">
        <f aca="false">$D17*M17</f>
        <v>35.9</v>
      </c>
      <c r="AF17" s="66" t="n">
        <f aca="false">$D17*N17</f>
        <v>35.9</v>
      </c>
      <c r="AG17" s="66" t="n">
        <f aca="false">$D17*O17</f>
        <v>35.9</v>
      </c>
      <c r="AH17" s="66" t="n">
        <f aca="false">$D17*P17</f>
        <v>35.9</v>
      </c>
      <c r="AI17" s="66" t="n">
        <f aca="false">$D17*Q17</f>
        <v>35.9</v>
      </c>
      <c r="AJ17" s="66" t="n">
        <f aca="false">$D17*R17</f>
        <v>35.9</v>
      </c>
      <c r="AK17" s="66" t="n">
        <f aca="false">$D17*S17</f>
        <v>35.9</v>
      </c>
    </row>
    <row r="18" customFormat="false" ht="15.75" hidden="false" customHeight="true" outlineLevel="0" collapsed="false">
      <c r="A18" s="52" t="n">
        <v>3</v>
      </c>
      <c r="B18" s="53" t="s">
        <v>200</v>
      </c>
      <c r="C18" s="54" t="s">
        <v>161</v>
      </c>
      <c r="D18" s="55" t="n">
        <f aca="false">VLOOKUP(C18,'[1]PREÇO ATUAL'!$A$1:$D$1048576,4,0)</f>
        <v>114.17</v>
      </c>
      <c r="E18" s="56"/>
      <c r="F18" s="56" t="n">
        <v>1</v>
      </c>
      <c r="G18" s="56"/>
      <c r="H18" s="56" t="n">
        <v>1</v>
      </c>
      <c r="I18" s="57"/>
      <c r="J18" s="57" t="n">
        <v>1</v>
      </c>
      <c r="K18" s="57"/>
      <c r="L18" s="57" t="n">
        <v>1</v>
      </c>
      <c r="M18" s="57"/>
      <c r="N18" s="57" t="n">
        <v>1</v>
      </c>
      <c r="O18" s="57"/>
      <c r="P18" s="57" t="n">
        <v>1</v>
      </c>
      <c r="Q18" s="57"/>
      <c r="R18" s="57" t="n">
        <v>1</v>
      </c>
      <c r="S18" s="57"/>
      <c r="T18" s="57"/>
      <c r="U18" s="57"/>
      <c r="V18" s="57"/>
      <c r="W18" s="58" t="n">
        <f aca="false">$D18*E18</f>
        <v>0</v>
      </c>
      <c r="X18" s="58" t="n">
        <f aca="false">$D18*F18</f>
        <v>114.17</v>
      </c>
      <c r="Y18" s="58" t="n">
        <f aca="false">$D18*G18</f>
        <v>0</v>
      </c>
      <c r="Z18" s="58" t="n">
        <f aca="false">$D18*H18</f>
        <v>114.17</v>
      </c>
      <c r="AA18" s="58" t="n">
        <f aca="false">$D18*I18</f>
        <v>0</v>
      </c>
      <c r="AB18" s="58" t="n">
        <f aca="false">$D18*J18</f>
        <v>114.17</v>
      </c>
      <c r="AC18" s="58" t="n">
        <f aca="false">$D18*K18</f>
        <v>0</v>
      </c>
      <c r="AD18" s="58" t="n">
        <f aca="false">$D18*L18</f>
        <v>114.17</v>
      </c>
      <c r="AE18" s="58" t="n">
        <f aca="false">$D18*M18</f>
        <v>0</v>
      </c>
      <c r="AF18" s="58" t="n">
        <f aca="false">$D18*N18</f>
        <v>114.17</v>
      </c>
      <c r="AG18" s="58" t="n">
        <f aca="false">$D18*O18</f>
        <v>0</v>
      </c>
      <c r="AH18" s="58" t="n">
        <f aca="false">$D18*P18</f>
        <v>114.17</v>
      </c>
      <c r="AI18" s="58" t="n">
        <f aca="false">$D18*Q18</f>
        <v>0</v>
      </c>
      <c r="AJ18" s="58" t="n">
        <f aca="false">$D18*R18</f>
        <v>114.17</v>
      </c>
      <c r="AK18" s="58" t="n">
        <f aca="false">$D18*S18</f>
        <v>0</v>
      </c>
    </row>
    <row r="19" customFormat="false" ht="15.75" hidden="false" customHeight="true" outlineLevel="0" collapsed="false">
      <c r="A19" s="137" t="n">
        <v>4</v>
      </c>
      <c r="B19" s="138" t="s">
        <v>69</v>
      </c>
      <c r="C19" s="139" t="s">
        <v>203</v>
      </c>
      <c r="D19" s="140" t="n">
        <f aca="false">VLOOKUP(C19,'[1]PREÇO ATUAL'!$A$1:$D$1048576,4,0)</f>
        <v>213.64728</v>
      </c>
      <c r="E19" s="176" t="n">
        <v>1</v>
      </c>
      <c r="F19" s="176" t="n">
        <v>1</v>
      </c>
      <c r="G19" s="176" t="n">
        <v>1</v>
      </c>
      <c r="H19" s="176" t="n">
        <v>1</v>
      </c>
      <c r="I19" s="177" t="n">
        <v>1</v>
      </c>
      <c r="J19" s="177" t="n">
        <v>1</v>
      </c>
      <c r="K19" s="177" t="n">
        <v>1</v>
      </c>
      <c r="L19" s="177" t="n">
        <v>1</v>
      </c>
      <c r="M19" s="177" t="n">
        <v>1</v>
      </c>
      <c r="N19" s="177" t="n">
        <v>1</v>
      </c>
      <c r="O19" s="177" t="n">
        <v>1</v>
      </c>
      <c r="P19" s="177" t="n">
        <v>1</v>
      </c>
      <c r="Q19" s="177" t="n">
        <v>1</v>
      </c>
      <c r="R19" s="177" t="n">
        <v>1</v>
      </c>
      <c r="S19" s="177" t="n">
        <v>1</v>
      </c>
      <c r="T19" s="65"/>
      <c r="U19" s="65"/>
      <c r="V19" s="65"/>
      <c r="W19" s="142" t="n">
        <f aca="false">$D19*E19</f>
        <v>213.64728</v>
      </c>
      <c r="X19" s="142" t="n">
        <f aca="false">$D19*F19</f>
        <v>213.64728</v>
      </c>
      <c r="Y19" s="142" t="n">
        <f aca="false">$D19*G19</f>
        <v>213.64728</v>
      </c>
      <c r="Z19" s="142" t="n">
        <f aca="false">$D19*H19</f>
        <v>213.64728</v>
      </c>
      <c r="AA19" s="142" t="n">
        <f aca="false">$D19*I19</f>
        <v>213.64728</v>
      </c>
      <c r="AB19" s="142" t="n">
        <f aca="false">$D19*J19</f>
        <v>213.64728</v>
      </c>
      <c r="AC19" s="142" t="n">
        <f aca="false">$D19*K19</f>
        <v>213.64728</v>
      </c>
      <c r="AD19" s="142" t="n">
        <f aca="false">$D19*L19</f>
        <v>213.64728</v>
      </c>
      <c r="AE19" s="142" t="n">
        <f aca="false">$D19*M19</f>
        <v>213.64728</v>
      </c>
      <c r="AF19" s="142" t="n">
        <f aca="false">$D19*N19</f>
        <v>213.64728</v>
      </c>
      <c r="AG19" s="142" t="n">
        <f aca="false">$D19*O19</f>
        <v>213.64728</v>
      </c>
      <c r="AH19" s="142" t="n">
        <f aca="false">$D19*P19</f>
        <v>213.64728</v>
      </c>
      <c r="AI19" s="142" t="n">
        <f aca="false">$D19*Q19</f>
        <v>213.64728</v>
      </c>
      <c r="AJ19" s="142" t="n">
        <f aca="false">$D19*R19</f>
        <v>213.64728</v>
      </c>
      <c r="AK19" s="142" t="n">
        <f aca="false">$D19*S19</f>
        <v>213.64728</v>
      </c>
    </row>
    <row r="20" customFormat="false" ht="15.75" hidden="false" customHeight="true" outlineLevel="0" collapsed="false">
      <c r="A20" s="125" t="n">
        <v>5</v>
      </c>
      <c r="B20" s="126" t="s">
        <v>85</v>
      </c>
      <c r="C20" s="127" t="s">
        <v>126</v>
      </c>
      <c r="D20" s="128" t="n">
        <f aca="false">VLOOKUP(C20,'[1]PREÇO ATUAL'!$A$1:$D$1048576,4,0)</f>
        <v>155.01</v>
      </c>
      <c r="E20" s="130"/>
      <c r="F20" s="130"/>
      <c r="G20" s="130"/>
      <c r="H20" s="130"/>
      <c r="I20" s="132"/>
      <c r="J20" s="132" t="n">
        <v>4</v>
      </c>
      <c r="K20" s="132"/>
      <c r="L20" s="132"/>
      <c r="M20" s="132"/>
      <c r="N20" s="132"/>
      <c r="O20" s="132"/>
      <c r="P20" s="132" t="n">
        <v>4</v>
      </c>
      <c r="Q20" s="132"/>
      <c r="R20" s="132"/>
      <c r="S20" s="132"/>
      <c r="T20" s="57"/>
      <c r="U20" s="57"/>
      <c r="V20" s="57"/>
      <c r="W20" s="134" t="n">
        <f aca="false">$D20*E20</f>
        <v>0</v>
      </c>
      <c r="X20" s="134" t="n">
        <f aca="false">$D20*F20</f>
        <v>0</v>
      </c>
      <c r="Y20" s="134" t="n">
        <f aca="false">$D20*G20</f>
        <v>0</v>
      </c>
      <c r="Z20" s="134" t="n">
        <f aca="false">$D20*H20</f>
        <v>0</v>
      </c>
      <c r="AA20" s="134" t="n">
        <f aca="false">$D20*I20</f>
        <v>0</v>
      </c>
      <c r="AB20" s="134" t="n">
        <f aca="false">$D20*J20</f>
        <v>620.04</v>
      </c>
      <c r="AC20" s="134" t="n">
        <f aca="false">$D20*K20</f>
        <v>0</v>
      </c>
      <c r="AD20" s="134" t="n">
        <f aca="false">$D20*L20</f>
        <v>0</v>
      </c>
      <c r="AE20" s="134" t="n">
        <f aca="false">$D20*M20</f>
        <v>0</v>
      </c>
      <c r="AF20" s="134" t="n">
        <f aca="false">$D20*N20</f>
        <v>0</v>
      </c>
      <c r="AG20" s="134" t="n">
        <f aca="false">$D20*O20</f>
        <v>0</v>
      </c>
      <c r="AH20" s="134" t="n">
        <f aca="false">$D20*P20</f>
        <v>620.04</v>
      </c>
      <c r="AI20" s="134" t="n">
        <f aca="false">$D20*Q20</f>
        <v>0</v>
      </c>
      <c r="AJ20" s="134" t="n">
        <f aca="false">$D20*R20</f>
        <v>0</v>
      </c>
      <c r="AK20" s="134" t="n">
        <f aca="false">$D20*S20</f>
        <v>0</v>
      </c>
    </row>
    <row r="21" customFormat="false" ht="15" hidden="false" customHeight="false" outlineLevel="0" collapsed="false">
      <c r="A21" s="137" t="n">
        <v>6</v>
      </c>
      <c r="B21" s="138" t="s">
        <v>201</v>
      </c>
      <c r="C21" s="139" t="s">
        <v>166</v>
      </c>
      <c r="D21" s="140" t="n">
        <f aca="false">VLOOKUP(C21,'[1]PREÇO ATUAL'!$A$1:$D$1048576,4,0)</f>
        <v>88.64</v>
      </c>
      <c r="E21" s="176"/>
      <c r="F21" s="176"/>
      <c r="G21" s="176"/>
      <c r="H21" s="176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65"/>
      <c r="U21" s="65"/>
      <c r="V21" s="65"/>
      <c r="W21" s="142" t="n">
        <f aca="false">$D21*E21</f>
        <v>0</v>
      </c>
      <c r="X21" s="142" t="n">
        <f aca="false">$D21*F21</f>
        <v>0</v>
      </c>
      <c r="Y21" s="142" t="n">
        <f aca="false">$D21*G21</f>
        <v>0</v>
      </c>
      <c r="Z21" s="142" t="n">
        <f aca="false">$D21*H21</f>
        <v>0</v>
      </c>
      <c r="AA21" s="142" t="n">
        <f aca="false">$D21*I21</f>
        <v>0</v>
      </c>
      <c r="AB21" s="142" t="n">
        <f aca="false">$D21*J21</f>
        <v>0</v>
      </c>
      <c r="AC21" s="142" t="n">
        <f aca="false">$D21*K21</f>
        <v>0</v>
      </c>
      <c r="AD21" s="142" t="n">
        <f aca="false">$D21*L21</f>
        <v>0</v>
      </c>
      <c r="AE21" s="142" t="n">
        <f aca="false">$D21*M21</f>
        <v>0</v>
      </c>
      <c r="AF21" s="142" t="n">
        <f aca="false">$D21*N21</f>
        <v>0</v>
      </c>
      <c r="AG21" s="142" t="n">
        <f aca="false">$D21*O21</f>
        <v>0</v>
      </c>
      <c r="AH21" s="142" t="n">
        <f aca="false">$D21*P21</f>
        <v>0</v>
      </c>
      <c r="AI21" s="142" t="n">
        <f aca="false">$D21*Q21</f>
        <v>0</v>
      </c>
      <c r="AJ21" s="142" t="n">
        <f aca="false">$D21*R21</f>
        <v>0</v>
      </c>
      <c r="AK21" s="142" t="n">
        <f aca="false">$D21*S21</f>
        <v>0</v>
      </c>
    </row>
    <row r="22" customFormat="false" ht="15.75" hidden="false" customHeight="true" outlineLevel="0" collapsed="false">
      <c r="A22" s="125" t="n">
        <v>7</v>
      </c>
      <c r="B22" s="126" t="s">
        <v>179</v>
      </c>
      <c r="C22" s="127" t="s">
        <v>180</v>
      </c>
      <c r="D22" s="128" t="n">
        <f aca="false">VLOOKUP(C22,'[1]PREÇO ATUAL'!$A$1:$D$1048576,4,0)</f>
        <v>45.09</v>
      </c>
      <c r="E22" s="130"/>
      <c r="F22" s="130"/>
      <c r="G22" s="130"/>
      <c r="H22" s="130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04"/>
      <c r="U22" s="104"/>
      <c r="V22" s="104"/>
      <c r="W22" s="134" t="n">
        <f aca="false">$D22*E22</f>
        <v>0</v>
      </c>
      <c r="X22" s="134" t="n">
        <f aca="false">$D22*F22</f>
        <v>0</v>
      </c>
      <c r="Y22" s="134" t="n">
        <f aca="false">$D22*G22</f>
        <v>0</v>
      </c>
      <c r="Z22" s="134" t="n">
        <f aca="false">$D22*H22</f>
        <v>0</v>
      </c>
      <c r="AA22" s="134" t="n">
        <f aca="false">$D22*I22</f>
        <v>0</v>
      </c>
      <c r="AB22" s="134" t="n">
        <f aca="false">$D22*J22</f>
        <v>0</v>
      </c>
      <c r="AC22" s="134" t="n">
        <f aca="false">$D22*K22</f>
        <v>0</v>
      </c>
      <c r="AD22" s="134" t="n">
        <f aca="false">$D22*L22</f>
        <v>0</v>
      </c>
      <c r="AE22" s="134" t="n">
        <f aca="false">$D22*M22</f>
        <v>0</v>
      </c>
      <c r="AF22" s="134" t="n">
        <f aca="false">$D22*N22</f>
        <v>0</v>
      </c>
      <c r="AG22" s="134" t="n">
        <f aca="false">$D22*O22</f>
        <v>0</v>
      </c>
      <c r="AH22" s="134" t="n">
        <f aca="false">$D22*P22</f>
        <v>0</v>
      </c>
      <c r="AI22" s="134" t="n">
        <f aca="false">$D22*Q22</f>
        <v>0</v>
      </c>
      <c r="AJ22" s="134" t="n">
        <f aca="false">$D22*R22</f>
        <v>0</v>
      </c>
      <c r="AK22" s="134" t="n">
        <f aca="false">$D22*S22</f>
        <v>0</v>
      </c>
    </row>
    <row r="23" customFormat="false" ht="15.75" hidden="false" customHeight="true" outlineLevel="0" collapsed="false">
      <c r="A23" s="137" t="n">
        <v>8</v>
      </c>
      <c r="B23" s="138" t="s">
        <v>127</v>
      </c>
      <c r="C23" s="139" t="s">
        <v>128</v>
      </c>
      <c r="D23" s="140" t="n">
        <f aca="false">VLOOKUP(C23,'[1]PREÇO ATUAL'!$A$1:$D$1048576,4,0)</f>
        <v>87.82</v>
      </c>
      <c r="E23" s="178" t="n">
        <v>4.8</v>
      </c>
      <c r="F23" s="178" t="n">
        <v>4.8</v>
      </c>
      <c r="G23" s="178" t="n">
        <v>4.8</v>
      </c>
      <c r="H23" s="178" t="n">
        <v>4.8</v>
      </c>
      <c r="I23" s="178" t="n">
        <v>4.8</v>
      </c>
      <c r="J23" s="178" t="n">
        <v>4.8</v>
      </c>
      <c r="K23" s="178" t="n">
        <v>4.8</v>
      </c>
      <c r="L23" s="178" t="n">
        <v>4.8</v>
      </c>
      <c r="M23" s="178" t="n">
        <v>4.8</v>
      </c>
      <c r="N23" s="178" t="n">
        <v>4.8</v>
      </c>
      <c r="O23" s="178" t="n">
        <v>4.8</v>
      </c>
      <c r="P23" s="178" t="n">
        <v>4.8</v>
      </c>
      <c r="Q23" s="178" t="n">
        <v>4.8</v>
      </c>
      <c r="R23" s="178" t="n">
        <v>4.8</v>
      </c>
      <c r="S23" s="178" t="n">
        <v>4.8</v>
      </c>
      <c r="T23" s="63"/>
      <c r="U23" s="63"/>
      <c r="V23" s="63"/>
      <c r="W23" s="142" t="n">
        <f aca="false">$D23*E23</f>
        <v>421.536</v>
      </c>
      <c r="X23" s="142" t="n">
        <f aca="false">$D23*F23</f>
        <v>421.536</v>
      </c>
      <c r="Y23" s="142" t="n">
        <f aca="false">$D23*G23</f>
        <v>421.536</v>
      </c>
      <c r="Z23" s="142" t="n">
        <f aca="false">$D23*H23</f>
        <v>421.536</v>
      </c>
      <c r="AA23" s="142" t="n">
        <f aca="false">$D23*I23</f>
        <v>421.536</v>
      </c>
      <c r="AB23" s="142" t="n">
        <f aca="false">$D23*J23</f>
        <v>421.536</v>
      </c>
      <c r="AC23" s="142" t="n">
        <f aca="false">$D23*K23</f>
        <v>421.536</v>
      </c>
      <c r="AD23" s="142" t="n">
        <f aca="false">$D23*L23</f>
        <v>421.536</v>
      </c>
      <c r="AE23" s="142" t="n">
        <f aca="false">$D23*M23</f>
        <v>421.536</v>
      </c>
      <c r="AF23" s="142" t="n">
        <f aca="false">$D23*N23</f>
        <v>421.536</v>
      </c>
      <c r="AG23" s="142" t="n">
        <f aca="false">$D23*O23</f>
        <v>421.536</v>
      </c>
      <c r="AH23" s="142" t="n">
        <f aca="false">$D23*P23</f>
        <v>421.536</v>
      </c>
      <c r="AI23" s="142" t="n">
        <f aca="false">$D23*Q23</f>
        <v>421.536</v>
      </c>
      <c r="AJ23" s="142" t="n">
        <f aca="false">$D23*R23</f>
        <v>421.536</v>
      </c>
      <c r="AK23" s="142" t="n">
        <f aca="false">$D23*S23</f>
        <v>421.536</v>
      </c>
    </row>
    <row r="24" customFormat="false" ht="15.75" hidden="false" customHeight="true" outlineLevel="0" collapsed="false">
      <c r="A24" s="125" t="n">
        <v>9</v>
      </c>
      <c r="B24" s="126" t="s">
        <v>64</v>
      </c>
      <c r="C24" s="127" t="s">
        <v>65</v>
      </c>
      <c r="D24" s="128" t="n">
        <f aca="false">VLOOKUP(C24,'[1]PREÇO ATUAL'!$A$1:$D$1048576,4,0)</f>
        <v>342</v>
      </c>
      <c r="E24" s="179" t="n">
        <v>1.05</v>
      </c>
      <c r="F24" s="179" t="n">
        <v>1.1</v>
      </c>
      <c r="G24" s="179" t="n">
        <v>1.05</v>
      </c>
      <c r="H24" s="179" t="n">
        <v>0.75</v>
      </c>
      <c r="I24" s="128" t="n">
        <v>1.15</v>
      </c>
      <c r="J24" s="128" t="n">
        <v>1.6</v>
      </c>
      <c r="K24" s="128" t="n">
        <v>1.05</v>
      </c>
      <c r="L24" s="128" t="n">
        <v>0.75</v>
      </c>
      <c r="M24" s="128" t="n">
        <v>1.05</v>
      </c>
      <c r="N24" s="128" t="n">
        <v>1.2</v>
      </c>
      <c r="O24" s="128" t="n">
        <v>1.05</v>
      </c>
      <c r="P24" s="128" t="n">
        <v>1.95</v>
      </c>
      <c r="Q24" s="128" t="n">
        <v>1.05</v>
      </c>
      <c r="R24" s="128" t="n">
        <v>1.1</v>
      </c>
      <c r="S24" s="128" t="n">
        <v>1.15</v>
      </c>
      <c r="T24" s="104"/>
      <c r="U24" s="104"/>
      <c r="V24" s="104"/>
      <c r="W24" s="134" t="n">
        <f aca="false">D24*E24</f>
        <v>359.1</v>
      </c>
      <c r="X24" s="134" t="n">
        <f aca="false">$D24*F24</f>
        <v>376.2</v>
      </c>
      <c r="Y24" s="134" t="n">
        <f aca="false">$D24*G24</f>
        <v>359.1</v>
      </c>
      <c r="Z24" s="134" t="n">
        <f aca="false">$D24*H24</f>
        <v>256.5</v>
      </c>
      <c r="AA24" s="134" t="n">
        <f aca="false">$D24*I24</f>
        <v>393.3</v>
      </c>
      <c r="AB24" s="134" t="n">
        <f aca="false">$D24*J24</f>
        <v>547.2</v>
      </c>
      <c r="AC24" s="134" t="n">
        <f aca="false">$D24*K24</f>
        <v>359.1</v>
      </c>
      <c r="AD24" s="134" t="n">
        <f aca="false">$D24*L24</f>
        <v>256.5</v>
      </c>
      <c r="AE24" s="134" t="n">
        <f aca="false">$D24*M24</f>
        <v>359.1</v>
      </c>
      <c r="AF24" s="134" t="n">
        <f aca="false">$D24*N24</f>
        <v>410.4</v>
      </c>
      <c r="AG24" s="134" t="n">
        <f aca="false">$D24*O24</f>
        <v>359.1</v>
      </c>
      <c r="AH24" s="134" t="n">
        <f aca="false">$D24*P24</f>
        <v>666.9</v>
      </c>
      <c r="AI24" s="134" t="n">
        <f aca="false">$D24*Q24</f>
        <v>359.1</v>
      </c>
      <c r="AJ24" s="134" t="n">
        <f aca="false">$D24*R24</f>
        <v>376.2</v>
      </c>
      <c r="AK24" s="134" t="n">
        <f aca="false">$D24*S24</f>
        <v>393.3</v>
      </c>
    </row>
    <row r="25" customFormat="false" ht="15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customFormat="false" ht="15.75" hidden="false" customHeight="true" outlineLevel="0" collapsed="false">
      <c r="A26" s="164" t="s">
        <v>204</v>
      </c>
      <c r="B26" s="164"/>
      <c r="C26" s="164"/>
      <c r="D26" s="164"/>
      <c r="E26" s="173" t="s">
        <v>29</v>
      </c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4" t="s">
        <v>30</v>
      </c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</row>
    <row r="27" customFormat="false" ht="15" hidden="false" customHeight="true" outlineLevel="0" collapsed="false">
      <c r="A27" s="167"/>
      <c r="B27" s="168"/>
      <c r="C27" s="168"/>
      <c r="D27" s="169"/>
      <c r="E27" s="170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5"/>
      <c r="T27" s="175"/>
      <c r="U27" s="175"/>
      <c r="V27" s="175"/>
      <c r="W27" s="44" t="n">
        <f aca="false">MROUND(SUM(W29:W39),1)</f>
        <v>1506</v>
      </c>
      <c r="X27" s="44" t="n">
        <f aca="false">MROUND(SUM(X29:X39),1)</f>
        <v>1638</v>
      </c>
      <c r="Y27" s="44" t="n">
        <f aca="false">MROUND(SUM(Y29:Y39),1)</f>
        <v>1506</v>
      </c>
      <c r="Z27" s="44" t="n">
        <f aca="false">MROUND(SUM(Z29:Z39),1)</f>
        <v>1655</v>
      </c>
      <c r="AA27" s="44" t="n">
        <f aca="false">MROUND(SUM(AA29:AA39),1)</f>
        <v>1541</v>
      </c>
      <c r="AB27" s="44" t="n">
        <f aca="false">MROUND(SUM(AB29:AB39),1)</f>
        <v>2429</v>
      </c>
      <c r="AC27" s="44" t="n">
        <f aca="false">MROUND(SUM(AC29:AC39),1)</f>
        <v>1506</v>
      </c>
      <c r="AD27" s="44" t="n">
        <f aca="false">MROUND(SUM(AD29:AD39),1)</f>
        <v>1655</v>
      </c>
      <c r="AE27" s="44" t="n">
        <f aca="false">MROUND(SUM(AE29:AE39),1)</f>
        <v>1506</v>
      </c>
      <c r="AF27" s="44" t="n">
        <f aca="false">MROUND(SUM(AF29:AF39),1)</f>
        <v>1672</v>
      </c>
      <c r="AG27" s="44" t="n">
        <f aca="false">MROUND(SUM(AG29:AG39),1)</f>
        <v>1506</v>
      </c>
      <c r="AH27" s="44" t="n">
        <f aca="false">MROUND(SUM(AH29:AH39),1)</f>
        <v>2549</v>
      </c>
      <c r="AI27" s="44" t="n">
        <f aca="false">MROUND(SUM(AI29:AI39),1)</f>
        <v>1506</v>
      </c>
      <c r="AJ27" s="44" t="n">
        <f aca="false">MROUND(SUM(AJ29:AJ39),1)</f>
        <v>1638</v>
      </c>
      <c r="AK27" s="44" t="n">
        <f aca="false">MROUND(SUM(AK29:AK39),1)</f>
        <v>1541</v>
      </c>
      <c r="AL27" s="172"/>
    </row>
    <row r="28" customFormat="false" ht="15.75" hidden="false" customHeight="true" outlineLevel="0" collapsed="false">
      <c r="A28" s="45" t="s">
        <v>32</v>
      </c>
      <c r="B28" s="45" t="s">
        <v>33</v>
      </c>
      <c r="C28" s="46" t="s">
        <v>34</v>
      </c>
      <c r="D28" s="47" t="s">
        <v>35</v>
      </c>
      <c r="E28" s="48" t="s">
        <v>186</v>
      </c>
      <c r="F28" s="48" t="s">
        <v>187</v>
      </c>
      <c r="G28" s="48" t="s">
        <v>188</v>
      </c>
      <c r="H28" s="48" t="s">
        <v>189</v>
      </c>
      <c r="I28" s="48" t="s">
        <v>190</v>
      </c>
      <c r="J28" s="48" t="s">
        <v>191</v>
      </c>
      <c r="K28" s="48" t="s">
        <v>192</v>
      </c>
      <c r="L28" s="48" t="s">
        <v>193</v>
      </c>
      <c r="M28" s="48" t="s">
        <v>194</v>
      </c>
      <c r="N28" s="48" t="s">
        <v>195</v>
      </c>
      <c r="O28" s="48" t="s">
        <v>142</v>
      </c>
      <c r="P28" s="48" t="s">
        <v>143</v>
      </c>
      <c r="Q28" s="48" t="s">
        <v>144</v>
      </c>
      <c r="R28" s="48" t="s">
        <v>145</v>
      </c>
      <c r="S28" s="48" t="s">
        <v>146</v>
      </c>
      <c r="T28" s="48" t="s">
        <v>196</v>
      </c>
      <c r="U28" s="48" t="s">
        <v>197</v>
      </c>
      <c r="V28" s="48" t="s">
        <v>198</v>
      </c>
      <c r="W28" s="48" t="n">
        <v>10000</v>
      </c>
      <c r="X28" s="48" t="n">
        <v>20000</v>
      </c>
      <c r="Y28" s="48" t="n">
        <v>30000</v>
      </c>
      <c r="Z28" s="48" t="n">
        <v>40000</v>
      </c>
      <c r="AA28" s="48" t="n">
        <v>50000</v>
      </c>
      <c r="AB28" s="48" t="n">
        <v>60000</v>
      </c>
      <c r="AC28" s="48" t="n">
        <v>70000</v>
      </c>
      <c r="AD28" s="48" t="n">
        <v>80000</v>
      </c>
      <c r="AE28" s="48" t="n">
        <v>90000</v>
      </c>
      <c r="AF28" s="48" t="n">
        <f aca="false">AE28+10000</f>
        <v>100000</v>
      </c>
      <c r="AG28" s="48" t="n">
        <f aca="false">AF28+10000</f>
        <v>110000</v>
      </c>
      <c r="AH28" s="48" t="n">
        <f aca="false">AG28+10000</f>
        <v>120000</v>
      </c>
      <c r="AI28" s="48" t="n">
        <f aca="false">AH28+10000</f>
        <v>130000</v>
      </c>
      <c r="AJ28" s="48" t="n">
        <f aca="false">AI28+10000</f>
        <v>140000</v>
      </c>
      <c r="AK28" s="48" t="n">
        <f aca="false">AJ28+10000</f>
        <v>150000</v>
      </c>
    </row>
    <row r="29" customFormat="false" ht="15.75" hidden="false" customHeight="true" outlineLevel="0" collapsed="false">
      <c r="A29" s="52" t="n">
        <v>1</v>
      </c>
      <c r="B29" s="72" t="s">
        <v>67</v>
      </c>
      <c r="C29" s="54" t="s">
        <v>123</v>
      </c>
      <c r="D29" s="55" t="n">
        <f aca="false">VLOOKUP(C29,'[1]PREÇO ATUAL'!$A$1:$D$1048576,4,0)</f>
        <v>112.46</v>
      </c>
      <c r="E29" s="56" t="n">
        <v>1</v>
      </c>
      <c r="F29" s="56" t="n">
        <v>1</v>
      </c>
      <c r="G29" s="56" t="n">
        <v>1</v>
      </c>
      <c r="H29" s="56" t="n">
        <v>1</v>
      </c>
      <c r="I29" s="56" t="n">
        <v>1</v>
      </c>
      <c r="J29" s="56" t="n">
        <v>1</v>
      </c>
      <c r="K29" s="56" t="n">
        <v>1</v>
      </c>
      <c r="L29" s="56" t="n">
        <v>1</v>
      </c>
      <c r="M29" s="56" t="n">
        <v>1</v>
      </c>
      <c r="N29" s="56" t="n">
        <v>1</v>
      </c>
      <c r="O29" s="56" t="n">
        <v>1</v>
      </c>
      <c r="P29" s="56" t="n">
        <v>1</v>
      </c>
      <c r="Q29" s="56" t="n">
        <v>1</v>
      </c>
      <c r="R29" s="56" t="n">
        <v>1</v>
      </c>
      <c r="S29" s="56" t="n">
        <v>1</v>
      </c>
      <c r="T29" s="56"/>
      <c r="U29" s="56"/>
      <c r="V29" s="56"/>
      <c r="W29" s="58" t="n">
        <f aca="false">$D29*E29</f>
        <v>112.46</v>
      </c>
      <c r="X29" s="58" t="n">
        <f aca="false">$D29*F29</f>
        <v>112.46</v>
      </c>
      <c r="Y29" s="58" t="n">
        <f aca="false">$D29*G29</f>
        <v>112.46</v>
      </c>
      <c r="Z29" s="58" t="n">
        <f aca="false">$D29*H29</f>
        <v>112.46</v>
      </c>
      <c r="AA29" s="58" t="n">
        <f aca="false">$D29*I29</f>
        <v>112.46</v>
      </c>
      <c r="AB29" s="58" t="n">
        <f aca="false">$D29*J29</f>
        <v>112.46</v>
      </c>
      <c r="AC29" s="58" t="n">
        <f aca="false">$D29*K29</f>
        <v>112.46</v>
      </c>
      <c r="AD29" s="58" t="n">
        <f aca="false">$D29*L29</f>
        <v>112.46</v>
      </c>
      <c r="AE29" s="58" t="n">
        <f aca="false">$D29*M29</f>
        <v>112.46</v>
      </c>
      <c r="AF29" s="58" t="n">
        <f aca="false">$D29*N29</f>
        <v>112.46</v>
      </c>
      <c r="AG29" s="58" t="n">
        <f aca="false">$D29*O29</f>
        <v>112.46</v>
      </c>
      <c r="AH29" s="58" t="n">
        <f aca="false">$D29*P29</f>
        <v>112.46</v>
      </c>
      <c r="AI29" s="58" t="n">
        <f aca="false">$D29*Q29</f>
        <v>112.46</v>
      </c>
      <c r="AJ29" s="58" t="n">
        <f aca="false">$D29*R29</f>
        <v>112.46</v>
      </c>
      <c r="AK29" s="58" t="n">
        <f aca="false">$D29*S29</f>
        <v>112.46</v>
      </c>
    </row>
    <row r="30" customFormat="false" ht="15.75" hidden="false" customHeight="true" outlineLevel="0" collapsed="false">
      <c r="A30" s="60" t="n">
        <v>2</v>
      </c>
      <c r="B30" s="73" t="s">
        <v>205</v>
      </c>
      <c r="C30" s="62" t="s">
        <v>124</v>
      </c>
      <c r="D30" s="63" t="n">
        <f aca="false">VLOOKUP(C30,'[1]PREÇO ATUAL'!$A$1:$D$1048576,4,0)</f>
        <v>35.9</v>
      </c>
      <c r="E30" s="64" t="n">
        <v>1</v>
      </c>
      <c r="F30" s="64" t="n">
        <v>1</v>
      </c>
      <c r="G30" s="64" t="n">
        <v>1</v>
      </c>
      <c r="H30" s="64" t="n">
        <v>1</v>
      </c>
      <c r="I30" s="64" t="n">
        <v>1</v>
      </c>
      <c r="J30" s="64" t="n">
        <v>1</v>
      </c>
      <c r="K30" s="64" t="n">
        <v>1</v>
      </c>
      <c r="L30" s="64" t="n">
        <v>1</v>
      </c>
      <c r="M30" s="64" t="n">
        <v>1</v>
      </c>
      <c r="N30" s="64" t="n">
        <v>1</v>
      </c>
      <c r="O30" s="64" t="n">
        <v>1</v>
      </c>
      <c r="P30" s="64" t="n">
        <v>1</v>
      </c>
      <c r="Q30" s="64" t="n">
        <v>1</v>
      </c>
      <c r="R30" s="64" t="n">
        <v>1</v>
      </c>
      <c r="S30" s="64" t="n">
        <v>1</v>
      </c>
      <c r="T30" s="64"/>
      <c r="U30" s="64"/>
      <c r="V30" s="64"/>
      <c r="W30" s="66" t="n">
        <f aca="false">$D30*E30</f>
        <v>35.9</v>
      </c>
      <c r="X30" s="66" t="n">
        <f aca="false">$D30*F30</f>
        <v>35.9</v>
      </c>
      <c r="Y30" s="66" t="n">
        <f aca="false">$D30*G30</f>
        <v>35.9</v>
      </c>
      <c r="Z30" s="66" t="n">
        <f aca="false">$D30*H30</f>
        <v>35.9</v>
      </c>
      <c r="AA30" s="66" t="n">
        <f aca="false">$D30*I30</f>
        <v>35.9</v>
      </c>
      <c r="AB30" s="66" t="n">
        <f aca="false">$D30*J30</f>
        <v>35.9</v>
      </c>
      <c r="AC30" s="66" t="n">
        <f aca="false">$D30*K30</f>
        <v>35.9</v>
      </c>
      <c r="AD30" s="66" t="n">
        <f aca="false">$D30*L30</f>
        <v>35.9</v>
      </c>
      <c r="AE30" s="66" t="n">
        <f aca="false">$D30*M30</f>
        <v>35.9</v>
      </c>
      <c r="AF30" s="66" t="n">
        <f aca="false">$D30*N30</f>
        <v>35.9</v>
      </c>
      <c r="AG30" s="66" t="n">
        <f aca="false">$D30*O30</f>
        <v>35.9</v>
      </c>
      <c r="AH30" s="66" t="n">
        <f aca="false">$D30*P30</f>
        <v>35.9</v>
      </c>
      <c r="AI30" s="66" t="n">
        <f aca="false">$D30*Q30</f>
        <v>35.9</v>
      </c>
      <c r="AJ30" s="66" t="n">
        <f aca="false">$D30*R30</f>
        <v>35.9</v>
      </c>
      <c r="AK30" s="66" t="n">
        <f aca="false">$D30*S30</f>
        <v>35.9</v>
      </c>
    </row>
    <row r="31" customFormat="false" ht="15.75" hidden="false" customHeight="true" outlineLevel="0" collapsed="false">
      <c r="A31" s="52" t="n">
        <v>3</v>
      </c>
      <c r="B31" s="72" t="s">
        <v>68</v>
      </c>
      <c r="C31" s="54" t="s">
        <v>161</v>
      </c>
      <c r="D31" s="55" t="n">
        <f aca="false">VLOOKUP(C31,'[1]PREÇO ATUAL'!$A$1:$D$1048576,4,0)</f>
        <v>114.17</v>
      </c>
      <c r="E31" s="56"/>
      <c r="F31" s="56" t="n">
        <v>1</v>
      </c>
      <c r="G31" s="56"/>
      <c r="H31" s="56" t="n">
        <v>1</v>
      </c>
      <c r="I31" s="57"/>
      <c r="J31" s="57" t="n">
        <v>1</v>
      </c>
      <c r="K31" s="57"/>
      <c r="L31" s="57" t="n">
        <v>1</v>
      </c>
      <c r="M31" s="57"/>
      <c r="N31" s="57" t="n">
        <v>1</v>
      </c>
      <c r="O31" s="57"/>
      <c r="P31" s="57" t="n">
        <v>1</v>
      </c>
      <c r="Q31" s="57"/>
      <c r="R31" s="57" t="n">
        <v>1</v>
      </c>
      <c r="S31" s="57"/>
      <c r="T31" s="57"/>
      <c r="U31" s="57"/>
      <c r="V31" s="57"/>
      <c r="W31" s="58" t="n">
        <f aca="false">$D31*E31</f>
        <v>0</v>
      </c>
      <c r="X31" s="58" t="n">
        <f aca="false">$D31*F31</f>
        <v>114.17</v>
      </c>
      <c r="Y31" s="58" t="n">
        <f aca="false">$D31*G31</f>
        <v>0</v>
      </c>
      <c r="Z31" s="58" t="n">
        <f aca="false">$D31*H31</f>
        <v>114.17</v>
      </c>
      <c r="AA31" s="58" t="n">
        <f aca="false">$D31*I31</f>
        <v>0</v>
      </c>
      <c r="AB31" s="58" t="n">
        <f aca="false">$D31*J31</f>
        <v>114.17</v>
      </c>
      <c r="AC31" s="58" t="n">
        <f aca="false">$D31*K31</f>
        <v>0</v>
      </c>
      <c r="AD31" s="58" t="n">
        <f aca="false">$D31*L31</f>
        <v>114.17</v>
      </c>
      <c r="AE31" s="58" t="n">
        <f aca="false">$D31*M31</f>
        <v>0</v>
      </c>
      <c r="AF31" s="58" t="n">
        <f aca="false">$D31*N31</f>
        <v>114.17</v>
      </c>
      <c r="AG31" s="58" t="n">
        <f aca="false">$D31*O31</f>
        <v>0</v>
      </c>
      <c r="AH31" s="58" t="n">
        <f aca="false">$D31*P31</f>
        <v>114.17</v>
      </c>
      <c r="AI31" s="58" t="n">
        <f aca="false">$D31*Q31</f>
        <v>0</v>
      </c>
      <c r="AJ31" s="58" t="n">
        <f aca="false">$D31*R31</f>
        <v>114.17</v>
      </c>
      <c r="AK31" s="58" t="n">
        <f aca="false">$D31*S31</f>
        <v>0</v>
      </c>
    </row>
    <row r="32" customFormat="false" ht="15.75" hidden="false" customHeight="true" outlineLevel="0" collapsed="false">
      <c r="A32" s="137" t="n">
        <v>4</v>
      </c>
      <c r="B32" s="180" t="s">
        <v>69</v>
      </c>
      <c r="C32" s="139" t="s">
        <v>203</v>
      </c>
      <c r="D32" s="140" t="n">
        <f aca="false">VLOOKUP(C32,'[1]PREÇO ATUAL'!$A$1:$D$1048576,4,0)</f>
        <v>213.64728</v>
      </c>
      <c r="E32" s="64" t="n">
        <v>1</v>
      </c>
      <c r="F32" s="64" t="n">
        <v>1</v>
      </c>
      <c r="G32" s="64" t="n">
        <v>1</v>
      </c>
      <c r="H32" s="64" t="n">
        <v>1</v>
      </c>
      <c r="I32" s="64" t="n">
        <v>1</v>
      </c>
      <c r="J32" s="64" t="n">
        <v>1</v>
      </c>
      <c r="K32" s="64" t="n">
        <v>1</v>
      </c>
      <c r="L32" s="64" t="n">
        <v>1</v>
      </c>
      <c r="M32" s="64" t="n">
        <v>1</v>
      </c>
      <c r="N32" s="64" t="n">
        <v>1</v>
      </c>
      <c r="O32" s="64" t="n">
        <v>1</v>
      </c>
      <c r="P32" s="64" t="n">
        <v>1</v>
      </c>
      <c r="Q32" s="64" t="n">
        <v>1</v>
      </c>
      <c r="R32" s="64" t="n">
        <v>1</v>
      </c>
      <c r="S32" s="64" t="n">
        <v>1</v>
      </c>
      <c r="T32" s="65"/>
      <c r="U32" s="65"/>
      <c r="V32" s="65"/>
      <c r="W32" s="142" t="n">
        <f aca="false">$D32*E32</f>
        <v>213.64728</v>
      </c>
      <c r="X32" s="142" t="n">
        <f aca="false">$D32*F32</f>
        <v>213.64728</v>
      </c>
      <c r="Y32" s="142" t="n">
        <f aca="false">$D32*G32</f>
        <v>213.64728</v>
      </c>
      <c r="Z32" s="142" t="n">
        <f aca="false">$D32*H32</f>
        <v>213.64728</v>
      </c>
      <c r="AA32" s="142" t="n">
        <f aca="false">$D32*I32</f>
        <v>213.64728</v>
      </c>
      <c r="AB32" s="142" t="n">
        <f aca="false">$D32*J32</f>
        <v>213.64728</v>
      </c>
      <c r="AC32" s="142" t="n">
        <f aca="false">$D32*K32</f>
        <v>213.64728</v>
      </c>
      <c r="AD32" s="142" t="n">
        <f aca="false">$D32*L32</f>
        <v>213.64728</v>
      </c>
      <c r="AE32" s="142" t="n">
        <f aca="false">$D32*M32</f>
        <v>213.64728</v>
      </c>
      <c r="AF32" s="142" t="n">
        <f aca="false">$D32*N32</f>
        <v>213.64728</v>
      </c>
      <c r="AG32" s="142" t="n">
        <f aca="false">$D32*O32</f>
        <v>213.64728</v>
      </c>
      <c r="AH32" s="142" t="n">
        <f aca="false">$D32*P32</f>
        <v>213.64728</v>
      </c>
      <c r="AI32" s="142" t="n">
        <f aca="false">$D32*Q32</f>
        <v>213.64728</v>
      </c>
      <c r="AJ32" s="142" t="n">
        <f aca="false">$D32*R32</f>
        <v>213.64728</v>
      </c>
      <c r="AK32" s="142" t="n">
        <f aca="false">$D32*S32</f>
        <v>213.64728</v>
      </c>
    </row>
    <row r="33" customFormat="false" ht="25.5" hidden="false" customHeight="false" outlineLevel="0" collapsed="false">
      <c r="A33" s="125" t="n">
        <v>5</v>
      </c>
      <c r="B33" s="181" t="s">
        <v>206</v>
      </c>
      <c r="C33" s="127" t="s">
        <v>126</v>
      </c>
      <c r="D33" s="128" t="n">
        <f aca="false">VLOOKUP(C33,'[1]PREÇO ATUAL'!$A$1:$D$1048576,4,0)</f>
        <v>155.01</v>
      </c>
      <c r="E33" s="130"/>
      <c r="F33" s="130"/>
      <c r="G33" s="130"/>
      <c r="H33" s="130"/>
      <c r="I33" s="132"/>
      <c r="J33" s="132" t="n">
        <v>4</v>
      </c>
      <c r="K33" s="132"/>
      <c r="L33" s="132"/>
      <c r="M33" s="132"/>
      <c r="N33" s="132"/>
      <c r="O33" s="132"/>
      <c r="P33" s="132" t="n">
        <v>4</v>
      </c>
      <c r="Q33" s="132"/>
      <c r="R33" s="132"/>
      <c r="S33" s="132"/>
      <c r="T33" s="57"/>
      <c r="U33" s="57"/>
      <c r="V33" s="57"/>
      <c r="W33" s="134" t="n">
        <f aca="false">$D33*E33</f>
        <v>0</v>
      </c>
      <c r="X33" s="134" t="n">
        <f aca="false">$D33*F33</f>
        <v>0</v>
      </c>
      <c r="Y33" s="134" t="n">
        <f aca="false">$D33*G33</f>
        <v>0</v>
      </c>
      <c r="Z33" s="134" t="n">
        <f aca="false">$D33*H33</f>
        <v>0</v>
      </c>
      <c r="AA33" s="134" t="n">
        <f aca="false">$D33*I33</f>
        <v>0</v>
      </c>
      <c r="AB33" s="134" t="n">
        <f aca="false">$D33*J33</f>
        <v>620.04</v>
      </c>
      <c r="AC33" s="134" t="n">
        <f aca="false">$D33*K33</f>
        <v>0</v>
      </c>
      <c r="AD33" s="134" t="n">
        <f aca="false">$D33*L33</f>
        <v>0</v>
      </c>
      <c r="AE33" s="134" t="n">
        <f aca="false">$D33*M33</f>
        <v>0</v>
      </c>
      <c r="AF33" s="134" t="n">
        <f aca="false">$D33*N33</f>
        <v>0</v>
      </c>
      <c r="AG33" s="134" t="n">
        <f aca="false">$D33*O33</f>
        <v>0</v>
      </c>
      <c r="AH33" s="134" t="n">
        <f aca="false">$D33*P33</f>
        <v>620.04</v>
      </c>
      <c r="AI33" s="134" t="n">
        <f aca="false">$D33*Q33</f>
        <v>0</v>
      </c>
      <c r="AJ33" s="134" t="n">
        <f aca="false">$D33*R33</f>
        <v>0</v>
      </c>
      <c r="AK33" s="134" t="n">
        <f aca="false">$D33*S33</f>
        <v>0</v>
      </c>
    </row>
    <row r="34" customFormat="false" ht="25.5" hidden="false" customHeight="false" outlineLevel="0" collapsed="false">
      <c r="A34" s="137" t="n">
        <v>6</v>
      </c>
      <c r="B34" s="180" t="s">
        <v>207</v>
      </c>
      <c r="C34" s="139" t="s">
        <v>208</v>
      </c>
      <c r="D34" s="140" t="n">
        <f aca="false">VLOOKUP(C34,'[1]PREÇO ATUAL'!$A$1:$D$1048576,4,0)</f>
        <v>124.449</v>
      </c>
      <c r="E34" s="64" t="n">
        <v>1</v>
      </c>
      <c r="F34" s="64" t="n">
        <v>1</v>
      </c>
      <c r="G34" s="64" t="n">
        <v>1</v>
      </c>
      <c r="H34" s="64" t="n">
        <v>1</v>
      </c>
      <c r="I34" s="64" t="n">
        <v>1</v>
      </c>
      <c r="J34" s="64" t="n">
        <v>1</v>
      </c>
      <c r="K34" s="64" t="n">
        <v>1</v>
      </c>
      <c r="L34" s="64" t="n">
        <v>1</v>
      </c>
      <c r="M34" s="64" t="n">
        <v>1</v>
      </c>
      <c r="N34" s="64" t="n">
        <v>1</v>
      </c>
      <c r="O34" s="64" t="n">
        <v>1</v>
      </c>
      <c r="P34" s="64" t="n">
        <v>1</v>
      </c>
      <c r="Q34" s="64" t="n">
        <v>1</v>
      </c>
      <c r="R34" s="64" t="n">
        <v>1</v>
      </c>
      <c r="S34" s="64" t="n">
        <v>1</v>
      </c>
      <c r="T34" s="65"/>
      <c r="U34" s="65"/>
      <c r="V34" s="65"/>
      <c r="W34" s="142" t="n">
        <f aca="false">$D34*E34</f>
        <v>124.449</v>
      </c>
      <c r="X34" s="142" t="n">
        <f aca="false">$D34*F34</f>
        <v>124.449</v>
      </c>
      <c r="Y34" s="142" t="n">
        <f aca="false">$D34*G34</f>
        <v>124.449</v>
      </c>
      <c r="Z34" s="142" t="n">
        <f aca="false">$D34*H34</f>
        <v>124.449</v>
      </c>
      <c r="AA34" s="142" t="n">
        <f aca="false">$D34*I34</f>
        <v>124.449</v>
      </c>
      <c r="AB34" s="142" t="n">
        <f aca="false">$D34*J34</f>
        <v>124.449</v>
      </c>
      <c r="AC34" s="142" t="n">
        <f aca="false">$D34*K34</f>
        <v>124.449</v>
      </c>
      <c r="AD34" s="142" t="n">
        <f aca="false">$D34*L34</f>
        <v>124.449</v>
      </c>
      <c r="AE34" s="142" t="n">
        <f aca="false">$D34*M34</f>
        <v>124.449</v>
      </c>
      <c r="AF34" s="142" t="n">
        <f aca="false">$D34*N34</f>
        <v>124.449</v>
      </c>
      <c r="AG34" s="142" t="n">
        <f aca="false">$D34*O34</f>
        <v>124.449</v>
      </c>
      <c r="AH34" s="142" t="n">
        <f aca="false">$D34*P34</f>
        <v>124.449</v>
      </c>
      <c r="AI34" s="142" t="n">
        <f aca="false">$D34*Q34</f>
        <v>124.449</v>
      </c>
      <c r="AJ34" s="142" t="n">
        <f aca="false">$D34*R34</f>
        <v>124.449</v>
      </c>
      <c r="AK34" s="142" t="n">
        <f aca="false">$D34*S34</f>
        <v>124.449</v>
      </c>
    </row>
    <row r="35" customFormat="false" ht="25.5" hidden="false" customHeight="false" outlineLevel="0" collapsed="false">
      <c r="A35" s="125" t="n">
        <v>7</v>
      </c>
      <c r="B35" s="181" t="s">
        <v>209</v>
      </c>
      <c r="C35" s="127" t="s">
        <v>210</v>
      </c>
      <c r="D35" s="128" t="n">
        <f aca="false">VLOOKUP(C35,'[1]PREÇO ATUAL'!$A$1:$D$1048576,4,0)</f>
        <v>53.5498083915208</v>
      </c>
      <c r="E35" s="130"/>
      <c r="F35" s="130"/>
      <c r="G35" s="130"/>
      <c r="H35" s="130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04"/>
      <c r="U35" s="104"/>
      <c r="V35" s="104"/>
      <c r="W35" s="134" t="n">
        <f aca="false">$D35*E35</f>
        <v>0</v>
      </c>
      <c r="X35" s="134" t="n">
        <f aca="false">$D35*F35</f>
        <v>0</v>
      </c>
      <c r="Y35" s="134" t="n">
        <f aca="false">$D35*G35</f>
        <v>0</v>
      </c>
      <c r="Z35" s="134" t="n">
        <f aca="false">$D35*H35</f>
        <v>0</v>
      </c>
      <c r="AA35" s="134" t="n">
        <f aca="false">$D35*I35</f>
        <v>0</v>
      </c>
      <c r="AB35" s="134" t="n">
        <f aca="false">$D35*J35</f>
        <v>0</v>
      </c>
      <c r="AC35" s="134" t="n">
        <f aca="false">$D35*K35</f>
        <v>0</v>
      </c>
      <c r="AD35" s="134" t="n">
        <f aca="false">$D35*L35</f>
        <v>0</v>
      </c>
      <c r="AE35" s="134" t="n">
        <f aca="false">$D35*M35</f>
        <v>0</v>
      </c>
      <c r="AF35" s="134" t="n">
        <f aca="false">$D35*N35</f>
        <v>0</v>
      </c>
      <c r="AG35" s="134" t="n">
        <f aca="false">$D35*O35</f>
        <v>0</v>
      </c>
      <c r="AH35" s="134" t="n">
        <f aca="false">$D35*P35</f>
        <v>0</v>
      </c>
      <c r="AI35" s="134" t="n">
        <f aca="false">$D35*Q35</f>
        <v>0</v>
      </c>
      <c r="AJ35" s="134" t="n">
        <f aca="false">$D35*R35</f>
        <v>0</v>
      </c>
      <c r="AK35" s="134" t="n">
        <f aca="false">$D35*S35</f>
        <v>0</v>
      </c>
    </row>
    <row r="36" customFormat="false" ht="25.5" hidden="false" customHeight="false" outlineLevel="0" collapsed="false">
      <c r="A36" s="137" t="n">
        <v>8</v>
      </c>
      <c r="B36" s="180" t="s">
        <v>163</v>
      </c>
      <c r="C36" s="139" t="s">
        <v>166</v>
      </c>
      <c r="D36" s="140" t="n">
        <f aca="false">VLOOKUP(C36,'[1]PREÇO ATUAL'!$A$1:$D$1048576,4,0)</f>
        <v>88.64</v>
      </c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63"/>
      <c r="U36" s="63"/>
      <c r="V36" s="63"/>
      <c r="W36" s="142" t="n">
        <f aca="false">$D36*E36</f>
        <v>0</v>
      </c>
      <c r="X36" s="142" t="n">
        <f aca="false">$D36*F36</f>
        <v>0</v>
      </c>
      <c r="Y36" s="142" t="n">
        <f aca="false">$D36*G36</f>
        <v>0</v>
      </c>
      <c r="Z36" s="142" t="n">
        <f aca="false">$D36*H36</f>
        <v>0</v>
      </c>
      <c r="AA36" s="142" t="n">
        <f aca="false">$D36*I36</f>
        <v>0</v>
      </c>
      <c r="AB36" s="142" t="n">
        <f aca="false">$D36*J36</f>
        <v>0</v>
      </c>
      <c r="AC36" s="142" t="n">
        <f aca="false">$D36*K36</f>
        <v>0</v>
      </c>
      <c r="AD36" s="142" t="n">
        <f aca="false">$D36*L36</f>
        <v>0</v>
      </c>
      <c r="AE36" s="142" t="n">
        <f aca="false">$D36*M36</f>
        <v>0</v>
      </c>
      <c r="AF36" s="142" t="n">
        <f aca="false">$D36*N36</f>
        <v>0</v>
      </c>
      <c r="AG36" s="142" t="n">
        <f aca="false">$D36*O36</f>
        <v>0</v>
      </c>
      <c r="AH36" s="142" t="n">
        <f aca="false">$D36*P36</f>
        <v>0</v>
      </c>
      <c r="AI36" s="142" t="n">
        <f aca="false">$D36*Q36</f>
        <v>0</v>
      </c>
      <c r="AJ36" s="142" t="n">
        <f aca="false">$D36*R36</f>
        <v>0</v>
      </c>
      <c r="AK36" s="142" t="n">
        <f aca="false">$D36*S36</f>
        <v>0</v>
      </c>
    </row>
    <row r="37" customFormat="false" ht="38.25" hidden="false" customHeight="false" outlineLevel="0" collapsed="false">
      <c r="A37" s="125" t="n">
        <v>9</v>
      </c>
      <c r="B37" s="181" t="s">
        <v>211</v>
      </c>
      <c r="C37" s="127" t="s">
        <v>212</v>
      </c>
      <c r="D37" s="128" t="n">
        <f aca="false">VLOOKUP(C37,'[1]PREÇO ATUAL'!$A$1:$D$1048576,4,0)</f>
        <v>0</v>
      </c>
      <c r="E37" s="179"/>
      <c r="F37" s="179"/>
      <c r="G37" s="179"/>
      <c r="H37" s="179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04"/>
      <c r="U37" s="104"/>
      <c r="V37" s="104"/>
      <c r="W37" s="134" t="n">
        <f aca="false">D37*E37</f>
        <v>0</v>
      </c>
      <c r="X37" s="134" t="n">
        <f aca="false">$D37*F37</f>
        <v>0</v>
      </c>
      <c r="Y37" s="134" t="n">
        <f aca="false">$D37*G37</f>
        <v>0</v>
      </c>
      <c r="Z37" s="134" t="n">
        <f aca="false">$D37*H37</f>
        <v>0</v>
      </c>
      <c r="AA37" s="134" t="n">
        <f aca="false">$D37*I37</f>
        <v>0</v>
      </c>
      <c r="AB37" s="134" t="n">
        <f aca="false">$D37*J37</f>
        <v>0</v>
      </c>
      <c r="AC37" s="134" t="n">
        <f aca="false">$D37*K37</f>
        <v>0</v>
      </c>
      <c r="AD37" s="134" t="n">
        <f aca="false">$D37*L37</f>
        <v>0</v>
      </c>
      <c r="AE37" s="134" t="n">
        <f aca="false">$D37*M37</f>
        <v>0</v>
      </c>
      <c r="AF37" s="134" t="n">
        <f aca="false">$D37*N37</f>
        <v>0</v>
      </c>
      <c r="AG37" s="134" t="n">
        <f aca="false">$D37*O37</f>
        <v>0</v>
      </c>
      <c r="AH37" s="134" t="n">
        <f aca="false">$D37*P37</f>
        <v>0</v>
      </c>
      <c r="AI37" s="134" t="n">
        <f aca="false">$D37*Q37</f>
        <v>0</v>
      </c>
      <c r="AJ37" s="134" t="n">
        <f aca="false">$D37*R37</f>
        <v>0</v>
      </c>
      <c r="AK37" s="134" t="n">
        <f aca="false">$D37*S37</f>
        <v>0</v>
      </c>
    </row>
    <row r="38" customFormat="false" ht="15" hidden="false" customHeight="false" outlineLevel="0" collapsed="false">
      <c r="A38" s="137" t="n">
        <v>10</v>
      </c>
      <c r="B38" s="180" t="s">
        <v>213</v>
      </c>
      <c r="C38" s="139" t="s">
        <v>128</v>
      </c>
      <c r="D38" s="140" t="n">
        <f aca="false">VLOOKUP(C38,'[1]PREÇO ATUAL'!$A$1:$D$1048576,4,0)</f>
        <v>87.82</v>
      </c>
      <c r="E38" s="182" t="n">
        <v>4.8</v>
      </c>
      <c r="F38" s="182" t="n">
        <v>4.8</v>
      </c>
      <c r="G38" s="182" t="n">
        <v>4.8</v>
      </c>
      <c r="H38" s="182" t="n">
        <v>4.8</v>
      </c>
      <c r="I38" s="182" t="n">
        <v>4.8</v>
      </c>
      <c r="J38" s="182" t="n">
        <v>4.8</v>
      </c>
      <c r="K38" s="182" t="n">
        <v>4.8</v>
      </c>
      <c r="L38" s="182" t="n">
        <v>4.8</v>
      </c>
      <c r="M38" s="182" t="n">
        <v>4.8</v>
      </c>
      <c r="N38" s="182" t="n">
        <v>4.8</v>
      </c>
      <c r="O38" s="182" t="n">
        <v>4.8</v>
      </c>
      <c r="P38" s="182" t="n">
        <v>4.8</v>
      </c>
      <c r="Q38" s="182" t="n">
        <v>4.8</v>
      </c>
      <c r="R38" s="182" t="n">
        <v>4.8</v>
      </c>
      <c r="S38" s="182" t="n">
        <v>4.8</v>
      </c>
      <c r="T38" s="65"/>
      <c r="U38" s="65"/>
      <c r="V38" s="65"/>
      <c r="W38" s="142" t="n">
        <f aca="false">$D38*E38</f>
        <v>421.536</v>
      </c>
      <c r="X38" s="142" t="n">
        <f aca="false">$D38*F38</f>
        <v>421.536</v>
      </c>
      <c r="Y38" s="142" t="n">
        <f aca="false">$D38*G38</f>
        <v>421.536</v>
      </c>
      <c r="Z38" s="142" t="n">
        <f aca="false">$D38*H38</f>
        <v>421.536</v>
      </c>
      <c r="AA38" s="142" t="n">
        <f aca="false">$D38*I38</f>
        <v>421.536</v>
      </c>
      <c r="AB38" s="142" t="n">
        <f aca="false">$D38*J38</f>
        <v>421.536</v>
      </c>
      <c r="AC38" s="142" t="n">
        <f aca="false">$D38*K38</f>
        <v>421.536</v>
      </c>
      <c r="AD38" s="142" t="n">
        <f aca="false">$D38*L38</f>
        <v>421.536</v>
      </c>
      <c r="AE38" s="142" t="n">
        <f aca="false">$D38*M38</f>
        <v>421.536</v>
      </c>
      <c r="AF38" s="142" t="n">
        <f aca="false">$D38*N38</f>
        <v>421.536</v>
      </c>
      <c r="AG38" s="142" t="n">
        <f aca="false">$D38*O38</f>
        <v>421.536</v>
      </c>
      <c r="AH38" s="142" t="n">
        <f aca="false">$D38*P38</f>
        <v>421.536</v>
      </c>
      <c r="AI38" s="142" t="n">
        <f aca="false">$D38*Q38</f>
        <v>421.536</v>
      </c>
      <c r="AJ38" s="142" t="n">
        <f aca="false">$D38*R38</f>
        <v>421.536</v>
      </c>
      <c r="AK38" s="142" t="n">
        <f aca="false">$D38*S38</f>
        <v>421.536</v>
      </c>
    </row>
    <row r="39" customFormat="false" ht="15.75" hidden="false" customHeight="true" outlineLevel="0" collapsed="false">
      <c r="A39" s="125" t="n">
        <v>11</v>
      </c>
      <c r="B39" s="126" t="s">
        <v>64</v>
      </c>
      <c r="C39" s="127" t="s">
        <v>65</v>
      </c>
      <c r="D39" s="128" t="n">
        <f aca="false">VLOOKUP(C39,'[1]PREÇO ATUAL'!$A$1:$D$1048576,4,0)</f>
        <v>342</v>
      </c>
      <c r="E39" s="179" t="n">
        <v>1.75</v>
      </c>
      <c r="F39" s="179" t="n">
        <v>1.8</v>
      </c>
      <c r="G39" s="179" t="n">
        <v>1.75</v>
      </c>
      <c r="H39" s="179" t="n">
        <v>1.85</v>
      </c>
      <c r="I39" s="128" t="n">
        <v>1.85</v>
      </c>
      <c r="J39" s="128" t="n">
        <v>2.3</v>
      </c>
      <c r="K39" s="128" t="n">
        <v>1.75</v>
      </c>
      <c r="L39" s="128" t="n">
        <v>1.85</v>
      </c>
      <c r="M39" s="128" t="n">
        <v>1.75</v>
      </c>
      <c r="N39" s="128" t="n">
        <v>1.9</v>
      </c>
      <c r="O39" s="128" t="n">
        <v>1.75</v>
      </c>
      <c r="P39" s="128" t="n">
        <v>2.65</v>
      </c>
      <c r="Q39" s="128" t="n">
        <v>1.75</v>
      </c>
      <c r="R39" s="128" t="n">
        <v>1.8</v>
      </c>
      <c r="S39" s="128" t="n">
        <v>1.85</v>
      </c>
      <c r="T39" s="104"/>
      <c r="U39" s="104"/>
      <c r="V39" s="104"/>
      <c r="W39" s="134" t="n">
        <f aca="false">$D39*E39</f>
        <v>598.5</v>
      </c>
      <c r="X39" s="134" t="n">
        <f aca="false">$D39*F39</f>
        <v>615.6</v>
      </c>
      <c r="Y39" s="134" t="n">
        <f aca="false">$D39*G39</f>
        <v>598.5</v>
      </c>
      <c r="Z39" s="134" t="n">
        <f aca="false">$D39*H39</f>
        <v>632.7</v>
      </c>
      <c r="AA39" s="134" t="n">
        <f aca="false">$D39*I39</f>
        <v>632.7</v>
      </c>
      <c r="AB39" s="134" t="n">
        <f aca="false">$D39*J39</f>
        <v>786.6</v>
      </c>
      <c r="AC39" s="134" t="n">
        <f aca="false">$D39*K39</f>
        <v>598.5</v>
      </c>
      <c r="AD39" s="134" t="n">
        <f aca="false">$D39*L39</f>
        <v>632.7</v>
      </c>
      <c r="AE39" s="134" t="n">
        <f aca="false">$D39*M39</f>
        <v>598.5</v>
      </c>
      <c r="AF39" s="134" t="n">
        <f aca="false">$D39*N39</f>
        <v>649.8</v>
      </c>
      <c r="AG39" s="134" t="n">
        <f aca="false">$D39*O39</f>
        <v>598.5</v>
      </c>
      <c r="AH39" s="134" t="n">
        <f aca="false">$D39*P39</f>
        <v>906.3</v>
      </c>
      <c r="AI39" s="134" t="n">
        <f aca="false">$D39*Q39</f>
        <v>598.5</v>
      </c>
      <c r="AJ39" s="134" t="n">
        <f aca="false">$D39*R39</f>
        <v>615.6</v>
      </c>
      <c r="AK39" s="134" t="n">
        <f aca="false">$D39*S39</f>
        <v>632.7</v>
      </c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customFormat="false" ht="15.75" hidden="false" customHeight="true" outlineLevel="0" collapsed="false">
      <c r="A41" s="164" t="s">
        <v>214</v>
      </c>
      <c r="B41" s="164"/>
      <c r="C41" s="164"/>
      <c r="D41" s="164"/>
      <c r="E41" s="173" t="s">
        <v>29</v>
      </c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4" t="s">
        <v>30</v>
      </c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</row>
    <row r="42" customFormat="false" ht="15" hidden="false" customHeight="true" outlineLevel="0" collapsed="false">
      <c r="A42" s="167"/>
      <c r="B42" s="168"/>
      <c r="C42" s="168"/>
      <c r="D42" s="169"/>
      <c r="E42" s="170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5"/>
      <c r="T42" s="175"/>
      <c r="U42" s="175"/>
      <c r="V42" s="175"/>
      <c r="W42" s="44" t="n">
        <f aca="false">MROUND(SUM(W44:W54),1)</f>
        <v>1506</v>
      </c>
      <c r="X42" s="44" t="n">
        <f aca="false">MROUND(SUM(X44:X54),1)</f>
        <v>1638</v>
      </c>
      <c r="Y42" s="44" t="n">
        <f aca="false">MROUND(SUM(Y44:Y54),1)</f>
        <v>1506</v>
      </c>
      <c r="Z42" s="44" t="n">
        <f aca="false">MROUND(SUM(Z44:Z54),1)</f>
        <v>1655</v>
      </c>
      <c r="AA42" s="44" t="n">
        <f aca="false">MROUND(SUM(AA44:AA54),1)</f>
        <v>1541</v>
      </c>
      <c r="AB42" s="44" t="n">
        <f aca="false">MROUND(SUM(AB44:AB54),1)</f>
        <v>2429</v>
      </c>
      <c r="AC42" s="44" t="n">
        <f aca="false">MROUND(SUM(AC44:AC54),1)</f>
        <v>1506</v>
      </c>
      <c r="AD42" s="44" t="n">
        <f aca="false">MROUND(SUM(AD44:AD54),1)</f>
        <v>1655</v>
      </c>
      <c r="AE42" s="44" t="n">
        <f aca="false">MROUND(SUM(AE44:AE54),1)</f>
        <v>1506</v>
      </c>
      <c r="AF42" s="44" t="n">
        <f aca="false">MROUND(SUM(AF44:AF54),1)</f>
        <v>1672</v>
      </c>
      <c r="AG42" s="44" t="n">
        <f aca="false">MROUND(SUM(AG44:AG54),1)</f>
        <v>1506</v>
      </c>
      <c r="AH42" s="44" t="n">
        <f aca="false">MROUND(SUM(AH44:AH54),1)</f>
        <v>2549</v>
      </c>
      <c r="AI42" s="44" t="n">
        <f aca="false">MROUND(SUM(AI44:AI54),1)</f>
        <v>1506</v>
      </c>
      <c r="AJ42" s="44" t="n">
        <f aca="false">MROUND(SUM(AJ44:AJ54),1)</f>
        <v>1638</v>
      </c>
      <c r="AK42" s="44" t="n">
        <f aca="false">MROUND(SUM(AK44:AK54),1)</f>
        <v>1541</v>
      </c>
      <c r="AL42" s="172"/>
    </row>
    <row r="43" customFormat="false" ht="15.75" hidden="false" customHeight="true" outlineLevel="0" collapsed="false">
      <c r="A43" s="45" t="s">
        <v>32</v>
      </c>
      <c r="B43" s="45" t="s">
        <v>33</v>
      </c>
      <c r="C43" s="46" t="s">
        <v>34</v>
      </c>
      <c r="D43" s="47" t="s">
        <v>35</v>
      </c>
      <c r="E43" s="48" t="s">
        <v>186</v>
      </c>
      <c r="F43" s="48" t="s">
        <v>187</v>
      </c>
      <c r="G43" s="48" t="s">
        <v>188</v>
      </c>
      <c r="H43" s="48" t="s">
        <v>189</v>
      </c>
      <c r="I43" s="48" t="s">
        <v>190</v>
      </c>
      <c r="J43" s="48" t="s">
        <v>191</v>
      </c>
      <c r="K43" s="48" t="s">
        <v>192</v>
      </c>
      <c r="L43" s="48" t="s">
        <v>193</v>
      </c>
      <c r="M43" s="48" t="s">
        <v>194</v>
      </c>
      <c r="N43" s="48" t="s">
        <v>195</v>
      </c>
      <c r="O43" s="48" t="s">
        <v>142</v>
      </c>
      <c r="P43" s="48" t="s">
        <v>143</v>
      </c>
      <c r="Q43" s="48" t="s">
        <v>144</v>
      </c>
      <c r="R43" s="48" t="s">
        <v>145</v>
      </c>
      <c r="S43" s="48" t="s">
        <v>146</v>
      </c>
      <c r="T43" s="48" t="s">
        <v>196</v>
      </c>
      <c r="U43" s="48" t="s">
        <v>197</v>
      </c>
      <c r="V43" s="48" t="s">
        <v>198</v>
      </c>
      <c r="W43" s="48" t="n">
        <v>10000</v>
      </c>
      <c r="X43" s="48" t="n">
        <v>20000</v>
      </c>
      <c r="Y43" s="48" t="n">
        <v>30000</v>
      </c>
      <c r="Z43" s="48" t="n">
        <v>40000</v>
      </c>
      <c r="AA43" s="48" t="n">
        <v>50000</v>
      </c>
      <c r="AB43" s="48" t="n">
        <v>60000</v>
      </c>
      <c r="AC43" s="48" t="n">
        <v>70000</v>
      </c>
      <c r="AD43" s="48" t="n">
        <v>80000</v>
      </c>
      <c r="AE43" s="48" t="n">
        <v>90000</v>
      </c>
      <c r="AF43" s="48" t="n">
        <f aca="false">AE43+10000</f>
        <v>100000</v>
      </c>
      <c r="AG43" s="48" t="n">
        <f aca="false">AF43+10000</f>
        <v>110000</v>
      </c>
      <c r="AH43" s="48" t="n">
        <f aca="false">AG43+10000</f>
        <v>120000</v>
      </c>
      <c r="AI43" s="48" t="n">
        <f aca="false">AH43+10000</f>
        <v>130000</v>
      </c>
      <c r="AJ43" s="48" t="n">
        <f aca="false">AI43+10000</f>
        <v>140000</v>
      </c>
      <c r="AK43" s="48" t="n">
        <f aca="false">AJ43+10000</f>
        <v>150000</v>
      </c>
    </row>
    <row r="44" customFormat="false" ht="15.75" hidden="false" customHeight="true" outlineLevel="0" collapsed="false">
      <c r="A44" s="52" t="n">
        <v>1</v>
      </c>
      <c r="B44" s="72" t="s">
        <v>67</v>
      </c>
      <c r="C44" s="54" t="s">
        <v>123</v>
      </c>
      <c r="D44" s="55" t="n">
        <f aca="false">VLOOKUP(C44,'[1]PREÇO ATUAL'!$A$1:$D$1048576,4,0)</f>
        <v>112.46</v>
      </c>
      <c r="E44" s="56" t="n">
        <v>1</v>
      </c>
      <c r="F44" s="56" t="n">
        <v>1</v>
      </c>
      <c r="G44" s="56" t="n">
        <v>1</v>
      </c>
      <c r="H44" s="56" t="n">
        <v>1</v>
      </c>
      <c r="I44" s="56" t="n">
        <v>1</v>
      </c>
      <c r="J44" s="56" t="n">
        <v>1</v>
      </c>
      <c r="K44" s="56" t="n">
        <v>1</v>
      </c>
      <c r="L44" s="56" t="n">
        <v>1</v>
      </c>
      <c r="M44" s="56" t="n">
        <v>1</v>
      </c>
      <c r="N44" s="56" t="n">
        <v>1</v>
      </c>
      <c r="O44" s="56" t="n">
        <v>1</v>
      </c>
      <c r="P44" s="56" t="n">
        <v>1</v>
      </c>
      <c r="Q44" s="56" t="n">
        <v>1</v>
      </c>
      <c r="R44" s="56" t="n">
        <v>1</v>
      </c>
      <c r="S44" s="56" t="n">
        <v>1</v>
      </c>
      <c r="T44" s="56"/>
      <c r="U44" s="56"/>
      <c r="V44" s="56"/>
      <c r="W44" s="58" t="n">
        <f aca="false">$D44*E44</f>
        <v>112.46</v>
      </c>
      <c r="X44" s="58" t="n">
        <f aca="false">$D44*F44</f>
        <v>112.46</v>
      </c>
      <c r="Y44" s="58" t="n">
        <f aca="false">$D44*G44</f>
        <v>112.46</v>
      </c>
      <c r="Z44" s="58" t="n">
        <f aca="false">$D44*H44</f>
        <v>112.46</v>
      </c>
      <c r="AA44" s="58" t="n">
        <f aca="false">$D44*I44</f>
        <v>112.46</v>
      </c>
      <c r="AB44" s="58" t="n">
        <f aca="false">$D44*J44</f>
        <v>112.46</v>
      </c>
      <c r="AC44" s="58" t="n">
        <f aca="false">$D44*K44</f>
        <v>112.46</v>
      </c>
      <c r="AD44" s="58" t="n">
        <f aca="false">$D44*L44</f>
        <v>112.46</v>
      </c>
      <c r="AE44" s="58" t="n">
        <f aca="false">$D44*M44</f>
        <v>112.46</v>
      </c>
      <c r="AF44" s="58" t="n">
        <f aca="false">$D44*N44</f>
        <v>112.46</v>
      </c>
      <c r="AG44" s="58" t="n">
        <f aca="false">$D44*O44</f>
        <v>112.46</v>
      </c>
      <c r="AH44" s="58" t="n">
        <f aca="false">$D44*P44</f>
        <v>112.46</v>
      </c>
      <c r="AI44" s="58" t="n">
        <f aca="false">$D44*Q44</f>
        <v>112.46</v>
      </c>
      <c r="AJ44" s="58" t="n">
        <f aca="false">$D44*R44</f>
        <v>112.46</v>
      </c>
      <c r="AK44" s="58" t="n">
        <f aca="false">$D44*S44</f>
        <v>112.46</v>
      </c>
    </row>
    <row r="45" customFormat="false" ht="15.75" hidden="false" customHeight="true" outlineLevel="0" collapsed="false">
      <c r="A45" s="60" t="n">
        <v>2</v>
      </c>
      <c r="B45" s="73" t="s">
        <v>205</v>
      </c>
      <c r="C45" s="62" t="s">
        <v>124</v>
      </c>
      <c r="D45" s="63" t="n">
        <f aca="false">VLOOKUP(C45,'[1]PREÇO ATUAL'!$A$1:$D$1048576,4,0)</f>
        <v>35.9</v>
      </c>
      <c r="E45" s="64" t="n">
        <v>1</v>
      </c>
      <c r="F45" s="64" t="n">
        <v>1</v>
      </c>
      <c r="G45" s="64" t="n">
        <v>1</v>
      </c>
      <c r="H45" s="64" t="n">
        <v>1</v>
      </c>
      <c r="I45" s="64" t="n">
        <v>1</v>
      </c>
      <c r="J45" s="64" t="n">
        <v>1</v>
      </c>
      <c r="K45" s="64" t="n">
        <v>1</v>
      </c>
      <c r="L45" s="64" t="n">
        <v>1</v>
      </c>
      <c r="M45" s="64" t="n">
        <v>1</v>
      </c>
      <c r="N45" s="64" t="n">
        <v>1</v>
      </c>
      <c r="O45" s="64" t="n">
        <v>1</v>
      </c>
      <c r="P45" s="64" t="n">
        <v>1</v>
      </c>
      <c r="Q45" s="64" t="n">
        <v>1</v>
      </c>
      <c r="R45" s="64" t="n">
        <v>1</v>
      </c>
      <c r="S45" s="64" t="n">
        <v>1</v>
      </c>
      <c r="T45" s="64"/>
      <c r="U45" s="64"/>
      <c r="V45" s="64"/>
      <c r="W45" s="66" t="n">
        <f aca="false">$D45*E45</f>
        <v>35.9</v>
      </c>
      <c r="X45" s="66" t="n">
        <f aca="false">$D45*F45</f>
        <v>35.9</v>
      </c>
      <c r="Y45" s="66" t="n">
        <f aca="false">$D45*G45</f>
        <v>35.9</v>
      </c>
      <c r="Z45" s="66" t="n">
        <f aca="false">$D45*H45</f>
        <v>35.9</v>
      </c>
      <c r="AA45" s="66" t="n">
        <f aca="false">$D45*I45</f>
        <v>35.9</v>
      </c>
      <c r="AB45" s="66" t="n">
        <f aca="false">$D45*J45</f>
        <v>35.9</v>
      </c>
      <c r="AC45" s="66" t="n">
        <f aca="false">$D45*K45</f>
        <v>35.9</v>
      </c>
      <c r="AD45" s="66" t="n">
        <f aca="false">$D45*L45</f>
        <v>35.9</v>
      </c>
      <c r="AE45" s="66" t="n">
        <f aca="false">$D45*M45</f>
        <v>35.9</v>
      </c>
      <c r="AF45" s="66" t="n">
        <f aca="false">$D45*N45</f>
        <v>35.9</v>
      </c>
      <c r="AG45" s="66" t="n">
        <f aca="false">$D45*O45</f>
        <v>35.9</v>
      </c>
      <c r="AH45" s="66" t="n">
        <f aca="false">$D45*P45</f>
        <v>35.9</v>
      </c>
      <c r="AI45" s="66" t="n">
        <f aca="false">$D45*Q45</f>
        <v>35.9</v>
      </c>
      <c r="AJ45" s="66" t="n">
        <f aca="false">$D45*R45</f>
        <v>35.9</v>
      </c>
      <c r="AK45" s="66" t="n">
        <f aca="false">$D45*S45</f>
        <v>35.9</v>
      </c>
    </row>
    <row r="46" customFormat="false" ht="15.75" hidden="false" customHeight="true" outlineLevel="0" collapsed="false">
      <c r="A46" s="52" t="n">
        <v>3</v>
      </c>
      <c r="B46" s="72" t="s">
        <v>68</v>
      </c>
      <c r="C46" s="54" t="s">
        <v>161</v>
      </c>
      <c r="D46" s="55" t="n">
        <f aca="false">VLOOKUP(C46,'[1]PREÇO ATUAL'!$A$1:$D$1048576,4,0)</f>
        <v>114.17</v>
      </c>
      <c r="E46" s="56"/>
      <c r="F46" s="56" t="n">
        <v>1</v>
      </c>
      <c r="G46" s="56"/>
      <c r="H46" s="56" t="n">
        <v>1</v>
      </c>
      <c r="I46" s="57"/>
      <c r="J46" s="57" t="n">
        <v>1</v>
      </c>
      <c r="K46" s="57"/>
      <c r="L46" s="57" t="n">
        <v>1</v>
      </c>
      <c r="M46" s="57"/>
      <c r="N46" s="57" t="n">
        <v>1</v>
      </c>
      <c r="O46" s="57"/>
      <c r="P46" s="57" t="n">
        <v>1</v>
      </c>
      <c r="Q46" s="57"/>
      <c r="R46" s="57" t="n">
        <v>1</v>
      </c>
      <c r="S46" s="57"/>
      <c r="T46" s="57"/>
      <c r="U46" s="57"/>
      <c r="V46" s="57"/>
      <c r="W46" s="58" t="n">
        <f aca="false">$D46*E46</f>
        <v>0</v>
      </c>
      <c r="X46" s="58" t="n">
        <f aca="false">$D46*F46</f>
        <v>114.17</v>
      </c>
      <c r="Y46" s="58" t="n">
        <f aca="false">$D46*G46</f>
        <v>0</v>
      </c>
      <c r="Z46" s="58" t="n">
        <f aca="false">$D46*H46</f>
        <v>114.17</v>
      </c>
      <c r="AA46" s="58" t="n">
        <f aca="false">$D46*I46</f>
        <v>0</v>
      </c>
      <c r="AB46" s="58" t="n">
        <f aca="false">$D46*J46</f>
        <v>114.17</v>
      </c>
      <c r="AC46" s="58" t="n">
        <f aca="false">$D46*K46</f>
        <v>0</v>
      </c>
      <c r="AD46" s="58" t="n">
        <f aca="false">$D46*L46</f>
        <v>114.17</v>
      </c>
      <c r="AE46" s="58" t="n">
        <f aca="false">$D46*M46</f>
        <v>0</v>
      </c>
      <c r="AF46" s="58" t="n">
        <f aca="false">$D46*N46</f>
        <v>114.17</v>
      </c>
      <c r="AG46" s="58" t="n">
        <f aca="false">$D46*O46</f>
        <v>0</v>
      </c>
      <c r="AH46" s="58" t="n">
        <f aca="false">$D46*P46</f>
        <v>114.17</v>
      </c>
      <c r="AI46" s="58" t="n">
        <f aca="false">$D46*Q46</f>
        <v>0</v>
      </c>
      <c r="AJ46" s="58" t="n">
        <f aca="false">$D46*R46</f>
        <v>114.17</v>
      </c>
      <c r="AK46" s="58" t="n">
        <f aca="false">$D46*S46</f>
        <v>0</v>
      </c>
    </row>
    <row r="47" customFormat="false" ht="15.75" hidden="false" customHeight="true" outlineLevel="0" collapsed="false">
      <c r="A47" s="137" t="n">
        <v>4</v>
      </c>
      <c r="B47" s="180" t="s">
        <v>69</v>
      </c>
      <c r="C47" s="139" t="s">
        <v>203</v>
      </c>
      <c r="D47" s="140" t="n">
        <f aca="false">VLOOKUP(C47,'[1]PREÇO ATUAL'!$A$1:$D$1048576,4,0)</f>
        <v>213.64728</v>
      </c>
      <c r="E47" s="64" t="n">
        <v>1</v>
      </c>
      <c r="F47" s="64" t="n">
        <v>1</v>
      </c>
      <c r="G47" s="64" t="n">
        <v>1</v>
      </c>
      <c r="H47" s="64" t="n">
        <v>1</v>
      </c>
      <c r="I47" s="64" t="n">
        <v>1</v>
      </c>
      <c r="J47" s="64" t="n">
        <v>1</v>
      </c>
      <c r="K47" s="64" t="n">
        <v>1</v>
      </c>
      <c r="L47" s="64" t="n">
        <v>1</v>
      </c>
      <c r="M47" s="64" t="n">
        <v>1</v>
      </c>
      <c r="N47" s="64" t="n">
        <v>1</v>
      </c>
      <c r="O47" s="64" t="n">
        <v>1</v>
      </c>
      <c r="P47" s="64" t="n">
        <v>1</v>
      </c>
      <c r="Q47" s="64" t="n">
        <v>1</v>
      </c>
      <c r="R47" s="64" t="n">
        <v>1</v>
      </c>
      <c r="S47" s="64" t="n">
        <v>1</v>
      </c>
      <c r="T47" s="65"/>
      <c r="U47" s="65"/>
      <c r="V47" s="65"/>
      <c r="W47" s="142" t="n">
        <f aca="false">$D47*E47</f>
        <v>213.64728</v>
      </c>
      <c r="X47" s="142" t="n">
        <f aca="false">$D47*F47</f>
        <v>213.64728</v>
      </c>
      <c r="Y47" s="142" t="n">
        <f aca="false">$D47*G47</f>
        <v>213.64728</v>
      </c>
      <c r="Z47" s="142" t="n">
        <f aca="false">$D47*H47</f>
        <v>213.64728</v>
      </c>
      <c r="AA47" s="142" t="n">
        <f aca="false">$D47*I47</f>
        <v>213.64728</v>
      </c>
      <c r="AB47" s="142" t="n">
        <f aca="false">$D47*J47</f>
        <v>213.64728</v>
      </c>
      <c r="AC47" s="142" t="n">
        <f aca="false">$D47*K47</f>
        <v>213.64728</v>
      </c>
      <c r="AD47" s="142" t="n">
        <f aca="false">$D47*L47</f>
        <v>213.64728</v>
      </c>
      <c r="AE47" s="142" t="n">
        <f aca="false">$D47*M47</f>
        <v>213.64728</v>
      </c>
      <c r="AF47" s="142" t="n">
        <f aca="false">$D47*N47</f>
        <v>213.64728</v>
      </c>
      <c r="AG47" s="142" t="n">
        <f aca="false">$D47*O47</f>
        <v>213.64728</v>
      </c>
      <c r="AH47" s="142" t="n">
        <f aca="false">$D47*P47</f>
        <v>213.64728</v>
      </c>
      <c r="AI47" s="142" t="n">
        <f aca="false">$D47*Q47</f>
        <v>213.64728</v>
      </c>
      <c r="AJ47" s="142" t="n">
        <f aca="false">$D47*R47</f>
        <v>213.64728</v>
      </c>
      <c r="AK47" s="142" t="n">
        <f aca="false">$D47*S47</f>
        <v>213.64728</v>
      </c>
    </row>
    <row r="48" customFormat="false" ht="25.5" hidden="false" customHeight="false" outlineLevel="0" collapsed="false">
      <c r="A48" s="125" t="n">
        <v>5</v>
      </c>
      <c r="B48" s="181" t="s">
        <v>206</v>
      </c>
      <c r="C48" s="127" t="s">
        <v>126</v>
      </c>
      <c r="D48" s="128" t="n">
        <f aca="false">VLOOKUP(C48,'[1]PREÇO ATUAL'!$A$1:$D$1048576,4,0)</f>
        <v>155.01</v>
      </c>
      <c r="E48" s="130"/>
      <c r="F48" s="130"/>
      <c r="G48" s="130"/>
      <c r="H48" s="130"/>
      <c r="I48" s="132"/>
      <c r="J48" s="132" t="n">
        <v>4</v>
      </c>
      <c r="K48" s="132"/>
      <c r="L48" s="132"/>
      <c r="M48" s="132"/>
      <c r="N48" s="132"/>
      <c r="O48" s="132"/>
      <c r="P48" s="132" t="n">
        <v>4</v>
      </c>
      <c r="Q48" s="132"/>
      <c r="R48" s="132"/>
      <c r="S48" s="132"/>
      <c r="T48" s="57"/>
      <c r="U48" s="57"/>
      <c r="V48" s="57"/>
      <c r="W48" s="134" t="n">
        <f aca="false">$D48*E48</f>
        <v>0</v>
      </c>
      <c r="X48" s="134" t="n">
        <f aca="false">$D48*F48</f>
        <v>0</v>
      </c>
      <c r="Y48" s="134" t="n">
        <f aca="false">$D48*G48</f>
        <v>0</v>
      </c>
      <c r="Z48" s="134" t="n">
        <f aca="false">$D48*H48</f>
        <v>0</v>
      </c>
      <c r="AA48" s="134" t="n">
        <f aca="false">$D48*I48</f>
        <v>0</v>
      </c>
      <c r="AB48" s="134" t="n">
        <f aca="false">$D48*J48</f>
        <v>620.04</v>
      </c>
      <c r="AC48" s="134" t="n">
        <f aca="false">$D48*K48</f>
        <v>0</v>
      </c>
      <c r="AD48" s="134" t="n">
        <f aca="false">$D48*L48</f>
        <v>0</v>
      </c>
      <c r="AE48" s="134" t="n">
        <f aca="false">$D48*M48</f>
        <v>0</v>
      </c>
      <c r="AF48" s="134" t="n">
        <f aca="false">$D48*N48</f>
        <v>0</v>
      </c>
      <c r="AG48" s="134" t="n">
        <f aca="false">$D48*O48</f>
        <v>0</v>
      </c>
      <c r="AH48" s="134" t="n">
        <f aca="false">$D48*P48</f>
        <v>620.04</v>
      </c>
      <c r="AI48" s="134" t="n">
        <f aca="false">$D48*Q48</f>
        <v>0</v>
      </c>
      <c r="AJ48" s="134" t="n">
        <f aca="false">$D48*R48</f>
        <v>0</v>
      </c>
      <c r="AK48" s="134" t="n">
        <f aca="false">$D48*S48</f>
        <v>0</v>
      </c>
    </row>
    <row r="49" customFormat="false" ht="25.5" hidden="false" customHeight="false" outlineLevel="0" collapsed="false">
      <c r="A49" s="137" t="n">
        <v>6</v>
      </c>
      <c r="B49" s="180" t="s">
        <v>207</v>
      </c>
      <c r="C49" s="139" t="s">
        <v>208</v>
      </c>
      <c r="D49" s="140" t="n">
        <f aca="false">VLOOKUP(C49,'[1]PREÇO ATUAL'!$A$1:$D$1048576,4,0)</f>
        <v>124.449</v>
      </c>
      <c r="E49" s="64" t="n">
        <v>1</v>
      </c>
      <c r="F49" s="64" t="n">
        <v>1</v>
      </c>
      <c r="G49" s="64" t="n">
        <v>1</v>
      </c>
      <c r="H49" s="64" t="n">
        <v>1</v>
      </c>
      <c r="I49" s="64" t="n">
        <v>1</v>
      </c>
      <c r="J49" s="64" t="n">
        <v>1</v>
      </c>
      <c r="K49" s="64" t="n">
        <v>1</v>
      </c>
      <c r="L49" s="64" t="n">
        <v>1</v>
      </c>
      <c r="M49" s="64" t="n">
        <v>1</v>
      </c>
      <c r="N49" s="64" t="n">
        <v>1</v>
      </c>
      <c r="O49" s="64" t="n">
        <v>1</v>
      </c>
      <c r="P49" s="64" t="n">
        <v>1</v>
      </c>
      <c r="Q49" s="64" t="n">
        <v>1</v>
      </c>
      <c r="R49" s="64" t="n">
        <v>1</v>
      </c>
      <c r="S49" s="64" t="n">
        <v>1</v>
      </c>
      <c r="T49" s="65"/>
      <c r="U49" s="65"/>
      <c r="V49" s="65"/>
      <c r="W49" s="142" t="n">
        <f aca="false">$D49*E49</f>
        <v>124.449</v>
      </c>
      <c r="X49" s="142" t="n">
        <f aca="false">$D49*F49</f>
        <v>124.449</v>
      </c>
      <c r="Y49" s="142" t="n">
        <f aca="false">$D49*G49</f>
        <v>124.449</v>
      </c>
      <c r="Z49" s="142" t="n">
        <f aca="false">$D49*H49</f>
        <v>124.449</v>
      </c>
      <c r="AA49" s="142" t="n">
        <f aca="false">$D49*I49</f>
        <v>124.449</v>
      </c>
      <c r="AB49" s="142" t="n">
        <f aca="false">$D49*J49</f>
        <v>124.449</v>
      </c>
      <c r="AC49" s="142" t="n">
        <f aca="false">$D49*K49</f>
        <v>124.449</v>
      </c>
      <c r="AD49" s="142" t="n">
        <f aca="false">$D49*L49</f>
        <v>124.449</v>
      </c>
      <c r="AE49" s="142" t="n">
        <f aca="false">$D49*M49</f>
        <v>124.449</v>
      </c>
      <c r="AF49" s="142" t="n">
        <f aca="false">$D49*N49</f>
        <v>124.449</v>
      </c>
      <c r="AG49" s="142" t="n">
        <f aca="false">$D49*O49</f>
        <v>124.449</v>
      </c>
      <c r="AH49" s="142" t="n">
        <f aca="false">$D49*P49</f>
        <v>124.449</v>
      </c>
      <c r="AI49" s="142" t="n">
        <f aca="false">$D49*Q49</f>
        <v>124.449</v>
      </c>
      <c r="AJ49" s="142" t="n">
        <f aca="false">$D49*R49</f>
        <v>124.449</v>
      </c>
      <c r="AK49" s="142" t="n">
        <f aca="false">$D49*S49</f>
        <v>124.449</v>
      </c>
    </row>
    <row r="50" customFormat="false" ht="25.5" hidden="false" customHeight="false" outlineLevel="0" collapsed="false">
      <c r="A50" s="125" t="n">
        <v>7</v>
      </c>
      <c r="B50" s="181" t="s">
        <v>209</v>
      </c>
      <c r="C50" s="127" t="s">
        <v>210</v>
      </c>
      <c r="D50" s="128" t="n">
        <f aca="false">VLOOKUP(C50,'[1]PREÇO ATUAL'!$A$1:$D$1048576,4,0)</f>
        <v>53.5498083915208</v>
      </c>
      <c r="E50" s="130"/>
      <c r="F50" s="130"/>
      <c r="G50" s="130"/>
      <c r="H50" s="130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04"/>
      <c r="U50" s="104"/>
      <c r="V50" s="104"/>
      <c r="W50" s="134" t="n">
        <f aca="false">$D50*E50</f>
        <v>0</v>
      </c>
      <c r="X50" s="134" t="n">
        <f aca="false">$D50*F50</f>
        <v>0</v>
      </c>
      <c r="Y50" s="134" t="n">
        <f aca="false">$D50*G50</f>
        <v>0</v>
      </c>
      <c r="Z50" s="134" t="n">
        <f aca="false">$D50*H50</f>
        <v>0</v>
      </c>
      <c r="AA50" s="134" t="n">
        <f aca="false">$D50*I50</f>
        <v>0</v>
      </c>
      <c r="AB50" s="134" t="n">
        <f aca="false">$D50*J50</f>
        <v>0</v>
      </c>
      <c r="AC50" s="134" t="n">
        <f aca="false">$D50*K50</f>
        <v>0</v>
      </c>
      <c r="AD50" s="134" t="n">
        <f aca="false">$D50*L50</f>
        <v>0</v>
      </c>
      <c r="AE50" s="134" t="n">
        <f aca="false">$D50*M50</f>
        <v>0</v>
      </c>
      <c r="AF50" s="134" t="n">
        <f aca="false">$D50*N50</f>
        <v>0</v>
      </c>
      <c r="AG50" s="134" t="n">
        <f aca="false">$D50*O50</f>
        <v>0</v>
      </c>
      <c r="AH50" s="134" t="n">
        <f aca="false">$D50*P50</f>
        <v>0</v>
      </c>
      <c r="AI50" s="134" t="n">
        <f aca="false">$D50*Q50</f>
        <v>0</v>
      </c>
      <c r="AJ50" s="134" t="n">
        <f aca="false">$D50*R50</f>
        <v>0</v>
      </c>
      <c r="AK50" s="134" t="n">
        <f aca="false">$D50*S50</f>
        <v>0</v>
      </c>
    </row>
    <row r="51" customFormat="false" ht="25.5" hidden="false" customHeight="false" outlineLevel="0" collapsed="false">
      <c r="A51" s="137" t="n">
        <v>8</v>
      </c>
      <c r="B51" s="180" t="s">
        <v>163</v>
      </c>
      <c r="C51" s="139" t="s">
        <v>215</v>
      </c>
      <c r="D51" s="140" t="n">
        <f aca="false">VLOOKUP(C51,'[1]PREÇO ATUAL'!$A$1:$D$1048576,4,0)</f>
        <v>208.99</v>
      </c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63"/>
      <c r="U51" s="63"/>
      <c r="V51" s="63"/>
      <c r="W51" s="142" t="n">
        <f aca="false">$D51*E51</f>
        <v>0</v>
      </c>
      <c r="X51" s="142" t="n">
        <f aca="false">$D51*F51</f>
        <v>0</v>
      </c>
      <c r="Y51" s="142" t="n">
        <f aca="false">$D51*G51</f>
        <v>0</v>
      </c>
      <c r="Z51" s="142" t="n">
        <f aca="false">$D51*H51</f>
        <v>0</v>
      </c>
      <c r="AA51" s="142" t="n">
        <f aca="false">$D51*I51</f>
        <v>0</v>
      </c>
      <c r="AB51" s="142" t="n">
        <f aca="false">$D51*J51</f>
        <v>0</v>
      </c>
      <c r="AC51" s="142" t="n">
        <f aca="false">$D51*K51</f>
        <v>0</v>
      </c>
      <c r="AD51" s="142" t="n">
        <f aca="false">$D51*L51</f>
        <v>0</v>
      </c>
      <c r="AE51" s="142" t="n">
        <f aca="false">$D51*M51</f>
        <v>0</v>
      </c>
      <c r="AF51" s="142" t="n">
        <f aca="false">$D51*N51</f>
        <v>0</v>
      </c>
      <c r="AG51" s="142" t="n">
        <f aca="false">$D51*O51</f>
        <v>0</v>
      </c>
      <c r="AH51" s="142" t="n">
        <f aca="false">$D51*P51</f>
        <v>0</v>
      </c>
      <c r="AI51" s="142" t="n">
        <f aca="false">$D51*Q51</f>
        <v>0</v>
      </c>
      <c r="AJ51" s="142" t="n">
        <f aca="false">$D51*R51</f>
        <v>0</v>
      </c>
      <c r="AK51" s="142" t="n">
        <f aca="false">$D51*S51</f>
        <v>0</v>
      </c>
    </row>
    <row r="52" customFormat="false" ht="38.25" hidden="false" customHeight="false" outlineLevel="0" collapsed="false">
      <c r="A52" s="125" t="n">
        <v>9</v>
      </c>
      <c r="B52" s="181" t="s">
        <v>211</v>
      </c>
      <c r="C52" s="127" t="s">
        <v>212</v>
      </c>
      <c r="D52" s="128" t="n">
        <f aca="false">VLOOKUP(C52,'[1]PREÇO ATUAL'!$A$1:$D$1048576,4,0)</f>
        <v>0</v>
      </c>
      <c r="E52" s="179"/>
      <c r="F52" s="179"/>
      <c r="G52" s="179"/>
      <c r="H52" s="179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04"/>
      <c r="U52" s="104"/>
      <c r="V52" s="104"/>
      <c r="W52" s="134" t="n">
        <f aca="false">D52*E52</f>
        <v>0</v>
      </c>
      <c r="X52" s="134" t="n">
        <f aca="false">$D52*F52</f>
        <v>0</v>
      </c>
      <c r="Y52" s="134" t="n">
        <f aca="false">$D52*G52</f>
        <v>0</v>
      </c>
      <c r="Z52" s="134" t="n">
        <f aca="false">$D52*H52</f>
        <v>0</v>
      </c>
      <c r="AA52" s="134" t="n">
        <f aca="false">$D52*I52</f>
        <v>0</v>
      </c>
      <c r="AB52" s="134" t="n">
        <f aca="false">$D52*J52</f>
        <v>0</v>
      </c>
      <c r="AC52" s="134" t="n">
        <f aca="false">$D52*K52</f>
        <v>0</v>
      </c>
      <c r="AD52" s="134" t="n">
        <f aca="false">$D52*L52</f>
        <v>0</v>
      </c>
      <c r="AE52" s="134" t="n">
        <f aca="false">$D52*M52</f>
        <v>0</v>
      </c>
      <c r="AF52" s="134" t="n">
        <f aca="false">$D52*N52</f>
        <v>0</v>
      </c>
      <c r="AG52" s="134" t="n">
        <f aca="false">$D52*O52</f>
        <v>0</v>
      </c>
      <c r="AH52" s="134" t="n">
        <f aca="false">$D52*P52</f>
        <v>0</v>
      </c>
      <c r="AI52" s="134" t="n">
        <f aca="false">$D52*Q52</f>
        <v>0</v>
      </c>
      <c r="AJ52" s="134" t="n">
        <f aca="false">$D52*R52</f>
        <v>0</v>
      </c>
      <c r="AK52" s="134" t="n">
        <f aca="false">$D52*S52</f>
        <v>0</v>
      </c>
    </row>
    <row r="53" customFormat="false" ht="15" hidden="false" customHeight="false" outlineLevel="0" collapsed="false">
      <c r="A53" s="137" t="n">
        <v>10</v>
      </c>
      <c r="B53" s="180" t="s">
        <v>213</v>
      </c>
      <c r="C53" s="139" t="s">
        <v>128</v>
      </c>
      <c r="D53" s="140" t="n">
        <f aca="false">VLOOKUP(C53,'[1]PREÇO ATUAL'!$A$1:$D$1048576,4,0)</f>
        <v>87.82</v>
      </c>
      <c r="E53" s="182" t="n">
        <v>4.8</v>
      </c>
      <c r="F53" s="182" t="n">
        <v>4.8</v>
      </c>
      <c r="G53" s="182" t="n">
        <v>4.8</v>
      </c>
      <c r="H53" s="182" t="n">
        <v>4.8</v>
      </c>
      <c r="I53" s="182" t="n">
        <v>4.8</v>
      </c>
      <c r="J53" s="182" t="n">
        <v>4.8</v>
      </c>
      <c r="K53" s="182" t="n">
        <v>4.8</v>
      </c>
      <c r="L53" s="182" t="n">
        <v>4.8</v>
      </c>
      <c r="M53" s="182" t="n">
        <v>4.8</v>
      </c>
      <c r="N53" s="182" t="n">
        <v>4.8</v>
      </c>
      <c r="O53" s="182" t="n">
        <v>4.8</v>
      </c>
      <c r="P53" s="182" t="n">
        <v>4.8</v>
      </c>
      <c r="Q53" s="182" t="n">
        <v>4.8</v>
      </c>
      <c r="R53" s="182" t="n">
        <v>4.8</v>
      </c>
      <c r="S53" s="182" t="n">
        <v>4.8</v>
      </c>
      <c r="T53" s="65"/>
      <c r="U53" s="65"/>
      <c r="V53" s="65"/>
      <c r="W53" s="142" t="n">
        <f aca="false">$D53*E53</f>
        <v>421.536</v>
      </c>
      <c r="X53" s="142" t="n">
        <f aca="false">$D53*F53</f>
        <v>421.536</v>
      </c>
      <c r="Y53" s="142" t="n">
        <f aca="false">$D53*G53</f>
        <v>421.536</v>
      </c>
      <c r="Z53" s="142" t="n">
        <f aca="false">$D53*H53</f>
        <v>421.536</v>
      </c>
      <c r="AA53" s="142" t="n">
        <f aca="false">$D53*I53</f>
        <v>421.536</v>
      </c>
      <c r="AB53" s="142" t="n">
        <f aca="false">$D53*J53</f>
        <v>421.536</v>
      </c>
      <c r="AC53" s="142" t="n">
        <f aca="false">$D53*K53</f>
        <v>421.536</v>
      </c>
      <c r="AD53" s="142" t="n">
        <f aca="false">$D53*L53</f>
        <v>421.536</v>
      </c>
      <c r="AE53" s="142" t="n">
        <f aca="false">$D53*M53</f>
        <v>421.536</v>
      </c>
      <c r="AF53" s="142" t="n">
        <f aca="false">$D53*N53</f>
        <v>421.536</v>
      </c>
      <c r="AG53" s="142" t="n">
        <f aca="false">$D53*O53</f>
        <v>421.536</v>
      </c>
      <c r="AH53" s="142" t="n">
        <f aca="false">$D53*P53</f>
        <v>421.536</v>
      </c>
      <c r="AI53" s="142" t="n">
        <f aca="false">$D53*Q53</f>
        <v>421.536</v>
      </c>
      <c r="AJ53" s="142" t="n">
        <f aca="false">$D53*R53</f>
        <v>421.536</v>
      </c>
      <c r="AK53" s="142" t="n">
        <f aca="false">$D53*S53</f>
        <v>421.536</v>
      </c>
    </row>
    <row r="54" customFormat="false" ht="15.75" hidden="false" customHeight="true" outlineLevel="0" collapsed="false">
      <c r="A54" s="125" t="n">
        <v>11</v>
      </c>
      <c r="B54" s="126" t="s">
        <v>64</v>
      </c>
      <c r="C54" s="127" t="s">
        <v>65</v>
      </c>
      <c r="D54" s="128" t="n">
        <f aca="false">VLOOKUP(C54,'[1]PREÇO ATUAL'!$A$1:$D$1048576,4,0)</f>
        <v>342</v>
      </c>
      <c r="E54" s="179" t="n">
        <v>1.75</v>
      </c>
      <c r="F54" s="179" t="n">
        <v>1.8</v>
      </c>
      <c r="G54" s="179" t="n">
        <v>1.75</v>
      </c>
      <c r="H54" s="179" t="n">
        <v>1.85</v>
      </c>
      <c r="I54" s="128" t="n">
        <v>1.85</v>
      </c>
      <c r="J54" s="128" t="n">
        <v>2.3</v>
      </c>
      <c r="K54" s="128" t="n">
        <v>1.75</v>
      </c>
      <c r="L54" s="128" t="n">
        <v>1.85</v>
      </c>
      <c r="M54" s="128" t="n">
        <v>1.75</v>
      </c>
      <c r="N54" s="128" t="n">
        <v>1.9</v>
      </c>
      <c r="O54" s="128" t="n">
        <v>1.75</v>
      </c>
      <c r="P54" s="128" t="n">
        <v>2.65</v>
      </c>
      <c r="Q54" s="128" t="n">
        <v>1.75</v>
      </c>
      <c r="R54" s="128" t="n">
        <v>1.8</v>
      </c>
      <c r="S54" s="128" t="n">
        <v>1.85</v>
      </c>
      <c r="T54" s="104"/>
      <c r="U54" s="104"/>
      <c r="V54" s="104"/>
      <c r="W54" s="134" t="n">
        <f aca="false">$D54*E54</f>
        <v>598.5</v>
      </c>
      <c r="X54" s="134" t="n">
        <f aca="false">$D54*F54</f>
        <v>615.6</v>
      </c>
      <c r="Y54" s="134" t="n">
        <f aca="false">$D54*G54</f>
        <v>598.5</v>
      </c>
      <c r="Z54" s="134" t="n">
        <f aca="false">$D54*H54</f>
        <v>632.7</v>
      </c>
      <c r="AA54" s="134" t="n">
        <f aca="false">$D54*I54</f>
        <v>632.7</v>
      </c>
      <c r="AB54" s="134" t="n">
        <f aca="false">$D54*J54</f>
        <v>786.6</v>
      </c>
      <c r="AC54" s="134" t="n">
        <f aca="false">$D54*K54</f>
        <v>598.5</v>
      </c>
      <c r="AD54" s="134" t="n">
        <f aca="false">$D54*L54</f>
        <v>632.7</v>
      </c>
      <c r="AE54" s="134" t="n">
        <f aca="false">$D54*M54</f>
        <v>598.5</v>
      </c>
      <c r="AF54" s="134" t="n">
        <f aca="false">$D54*N54</f>
        <v>649.8</v>
      </c>
      <c r="AG54" s="134" t="n">
        <f aca="false">$D54*O54</f>
        <v>598.5</v>
      </c>
      <c r="AH54" s="134" t="n">
        <f aca="false">$D54*P54</f>
        <v>906.3</v>
      </c>
      <c r="AI54" s="134" t="n">
        <f aca="false">$D54*Q54</f>
        <v>598.5</v>
      </c>
      <c r="AJ54" s="134" t="n">
        <f aca="false">$D54*R54</f>
        <v>615.6</v>
      </c>
      <c r="AK54" s="134" t="n">
        <f aca="false">$D54*S54</f>
        <v>632.7</v>
      </c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</sheetData>
  <mergeCells count="12">
    <mergeCell ref="A1:D1"/>
    <mergeCell ref="E1:V1"/>
    <mergeCell ref="W1:AN1"/>
    <mergeCell ref="A13:D13"/>
    <mergeCell ref="E13:S13"/>
    <mergeCell ref="T13:AK13"/>
    <mergeCell ref="A26:D26"/>
    <mergeCell ref="E26:S26"/>
    <mergeCell ref="T26:AK26"/>
    <mergeCell ref="A41:D41"/>
    <mergeCell ref="E41:S41"/>
    <mergeCell ref="T41:AK4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H951"/>
  <sheetViews>
    <sheetView showFormulas="false" showGridLines="false" showRowColHeaders="true" showZeros="true" rightToLeft="false" tabSelected="false" showOutlineSymbols="true" defaultGridColor="true" view="normal" topLeftCell="A25" colorId="64" zoomScale="100" zoomScaleNormal="100" zoomScalePageLayoutView="100" workbookViewId="0">
      <pane xSplit="4" ySplit="0" topLeftCell="E25" activePane="topRight" state="frozen"/>
      <selection pane="topLeft" activeCell="A25" activeCellId="0" sqref="A25"/>
      <selection pane="topRight" activeCell="L37" activeCellId="0" sqref="L37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67"/>
    <col collapsed="false" customWidth="true" hidden="false" outlineLevel="0" max="3" min="3" style="0" width="16"/>
    <col collapsed="false" customWidth="true" hidden="false" outlineLevel="0" max="4" min="4" style="0" width="8.71"/>
    <col collapsed="false" customWidth="true" hidden="false" outlineLevel="0" max="19" min="5" style="0" width="5.14"/>
    <col collapsed="false" customWidth="true" hidden="false" outlineLevel="0" max="34" min="20" style="0" width="15.71"/>
  </cols>
  <sheetData>
    <row r="1" customFormat="false" ht="15.75" hidden="false" customHeight="true" outlineLevel="0" collapsed="false">
      <c r="A1" s="183" t="s">
        <v>216</v>
      </c>
      <c r="B1" s="183"/>
      <c r="C1" s="183"/>
      <c r="D1" s="183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36" t="s">
        <v>30</v>
      </c>
      <c r="U1" s="36"/>
      <c r="V1" s="36"/>
      <c r="W1" s="36"/>
      <c r="X1" s="36"/>
      <c r="Y1" s="36"/>
      <c r="Z1" s="36"/>
      <c r="AA1" s="36"/>
      <c r="AB1" s="36"/>
      <c r="AC1" s="36"/>
    </row>
    <row r="2" customFormat="false" ht="15" hidden="false" customHeight="true" outlineLevel="0" collapsed="false">
      <c r="A2" s="108"/>
      <c r="B2" s="184"/>
      <c r="C2" s="184"/>
      <c r="D2" s="184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43" t="n">
        <f aca="false">MROUND(SUM(T4:T11),1)</f>
        <v>1451</v>
      </c>
      <c r="U2" s="43" t="n">
        <f aca="false">MROUND(SUM(U4:U11),1)</f>
        <v>1673</v>
      </c>
      <c r="V2" s="43" t="n">
        <f aca="false">MROUND(SUM(V4:V11),1)</f>
        <v>1970</v>
      </c>
      <c r="W2" s="43" t="n">
        <f aca="false">MROUND(SUM(W4:W11),1)</f>
        <v>2832</v>
      </c>
      <c r="X2" s="43" t="n">
        <f aca="false">MROUND(SUM(X4:X11),1)</f>
        <v>1502</v>
      </c>
      <c r="Y2" s="43" t="n">
        <f aca="false">MROUND(SUM(Y4:Y11),1)</f>
        <v>1918</v>
      </c>
      <c r="Z2" s="43" t="n">
        <f aca="false">MROUND(SUM(Z4:Z11),1)</f>
        <v>1690</v>
      </c>
      <c r="AA2" s="43" t="n">
        <f aca="false">MROUND(SUM(AA4:AA11),1)</f>
        <v>2884</v>
      </c>
      <c r="AB2" s="43" t="n">
        <f aca="false">MROUND(SUM(AB4:AB11),1)</f>
        <v>1730</v>
      </c>
      <c r="AC2" s="43" t="n">
        <f aca="false">MROUND(SUM(AC4:AC11),1)</f>
        <v>1656</v>
      </c>
    </row>
    <row r="3" customFormat="false" ht="15" hidden="false" customHeight="false" outlineLevel="0" collapsed="false">
      <c r="A3" s="45" t="s">
        <v>32</v>
      </c>
      <c r="B3" s="185" t="s">
        <v>33</v>
      </c>
      <c r="C3" s="186" t="s">
        <v>34</v>
      </c>
      <c r="D3" s="18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188" t="s">
        <v>45</v>
      </c>
      <c r="O3" s="48"/>
      <c r="P3" s="48"/>
      <c r="Q3" s="48"/>
      <c r="R3" s="48"/>
      <c r="S3" s="48"/>
      <c r="T3" s="48" t="n">
        <v>20000</v>
      </c>
      <c r="U3" s="48" t="n">
        <v>40000</v>
      </c>
      <c r="V3" s="48" t="n">
        <v>60000</v>
      </c>
      <c r="W3" s="48" t="n">
        <v>80000</v>
      </c>
      <c r="X3" s="48" t="n">
        <v>100000</v>
      </c>
      <c r="Y3" s="48" t="n">
        <v>120000</v>
      </c>
      <c r="Z3" s="48" t="n">
        <v>140000</v>
      </c>
      <c r="AA3" s="48" t="n">
        <v>160000</v>
      </c>
      <c r="AB3" s="48" t="n">
        <v>180000</v>
      </c>
      <c r="AC3" s="48" t="n">
        <v>200000</v>
      </c>
    </row>
    <row r="4" customFormat="false" ht="15" hidden="false" customHeight="false" outlineLevel="0" collapsed="false">
      <c r="A4" s="52" t="n">
        <v>1</v>
      </c>
      <c r="B4" s="53" t="s">
        <v>174</v>
      </c>
      <c r="C4" s="54" t="s">
        <v>217</v>
      </c>
      <c r="D4" s="55" t="n">
        <f aca="false">VLOOKUP(C4,'[1]PREÇO ATUAL'!$A$1:$D$1048576,4,0)</f>
        <v>86.54</v>
      </c>
      <c r="E4" s="56" t="n">
        <v>1</v>
      </c>
      <c r="F4" s="56" t="n">
        <v>1</v>
      </c>
      <c r="G4" s="56" t="n">
        <v>1</v>
      </c>
      <c r="H4" s="56" t="n">
        <v>1</v>
      </c>
      <c r="I4" s="57" t="n">
        <v>1</v>
      </c>
      <c r="J4" s="57" t="n">
        <v>1</v>
      </c>
      <c r="K4" s="57" t="n">
        <v>1</v>
      </c>
      <c r="L4" s="57" t="n">
        <v>1</v>
      </c>
      <c r="M4" s="57" t="n">
        <v>1</v>
      </c>
      <c r="N4" s="57" t="n">
        <v>1</v>
      </c>
      <c r="O4" s="57"/>
      <c r="P4" s="57"/>
      <c r="Q4" s="57"/>
      <c r="R4" s="57"/>
      <c r="S4" s="57"/>
      <c r="T4" s="58" t="n">
        <f aca="false">$D4*E4</f>
        <v>86.54</v>
      </c>
      <c r="U4" s="58" t="n">
        <f aca="false">$D4*F4</f>
        <v>86.54</v>
      </c>
      <c r="V4" s="58" t="n">
        <f aca="false">$D4*G4</f>
        <v>86.54</v>
      </c>
      <c r="W4" s="58" t="n">
        <f aca="false">$D4*H4</f>
        <v>86.54</v>
      </c>
      <c r="X4" s="58" t="n">
        <f aca="false">$D4*I4</f>
        <v>86.54</v>
      </c>
      <c r="Y4" s="58" t="n">
        <f aca="false">$D4*J4</f>
        <v>86.54</v>
      </c>
      <c r="Z4" s="58" t="n">
        <f aca="false">$D4*K4</f>
        <v>86.54</v>
      </c>
      <c r="AA4" s="58" t="n">
        <f aca="false">$D4*L4</f>
        <v>86.54</v>
      </c>
      <c r="AB4" s="58" t="n">
        <f aca="false">$D4*M4</f>
        <v>86.54</v>
      </c>
      <c r="AC4" s="58" t="n">
        <f aca="false">$D4*N4</f>
        <v>86.54</v>
      </c>
    </row>
    <row r="5" customFormat="false" ht="15" hidden="false" customHeight="false" outlineLevel="0" collapsed="false">
      <c r="A5" s="60" t="n">
        <v>2</v>
      </c>
      <c r="B5" s="61" t="s">
        <v>98</v>
      </c>
      <c r="C5" s="62" t="s">
        <v>218</v>
      </c>
      <c r="D5" s="63" t="n">
        <f aca="false">VLOOKUP(C5,'[1]PREÇO ATUAL'!$A$1:$D$1048576,4,0)</f>
        <v>379</v>
      </c>
      <c r="E5" s="64" t="n">
        <v>1</v>
      </c>
      <c r="F5" s="64" t="n">
        <v>1</v>
      </c>
      <c r="G5" s="64" t="n">
        <v>1</v>
      </c>
      <c r="H5" s="64" t="n">
        <v>1</v>
      </c>
      <c r="I5" s="65" t="n">
        <v>1</v>
      </c>
      <c r="J5" s="65" t="n">
        <v>1</v>
      </c>
      <c r="K5" s="65" t="n">
        <v>1</v>
      </c>
      <c r="L5" s="65" t="n">
        <v>1</v>
      </c>
      <c r="M5" s="65" t="n">
        <v>1</v>
      </c>
      <c r="N5" s="65" t="n">
        <v>1</v>
      </c>
      <c r="O5" s="65"/>
      <c r="P5" s="65"/>
      <c r="Q5" s="65"/>
      <c r="R5" s="65"/>
      <c r="S5" s="65"/>
      <c r="T5" s="66" t="n">
        <f aca="false">$D5*E5</f>
        <v>379</v>
      </c>
      <c r="U5" s="66" t="n">
        <f aca="false">$D5*F5</f>
        <v>379</v>
      </c>
      <c r="V5" s="66" t="n">
        <f aca="false">$D5*G5</f>
        <v>379</v>
      </c>
      <c r="W5" s="66" t="n">
        <f aca="false">$D5*H5</f>
        <v>379</v>
      </c>
      <c r="X5" s="66" t="n">
        <f aca="false">$D5*I5</f>
        <v>379</v>
      </c>
      <c r="Y5" s="66" t="n">
        <f aca="false">$D5*J5</f>
        <v>379</v>
      </c>
      <c r="Z5" s="66" t="n">
        <f aca="false">$D5*K5</f>
        <v>379</v>
      </c>
      <c r="AA5" s="66" t="n">
        <f aca="false">$D5*L5</f>
        <v>379</v>
      </c>
      <c r="AB5" s="66" t="n">
        <f aca="false">$D5*M5</f>
        <v>379</v>
      </c>
      <c r="AC5" s="66" t="n">
        <f aca="false">$D5*N5</f>
        <v>379</v>
      </c>
    </row>
    <row r="6" customFormat="false" ht="15" hidden="false" customHeight="false" outlineLevel="0" collapsed="false">
      <c r="A6" s="52" t="n">
        <v>3</v>
      </c>
      <c r="B6" s="53" t="s">
        <v>175</v>
      </c>
      <c r="C6" s="54" t="s">
        <v>176</v>
      </c>
      <c r="D6" s="55" t="n">
        <f aca="false">VLOOKUP(C6,'[1]PREÇO ATUAL'!$A$1:$D$1048576,4,0)</f>
        <v>101.54</v>
      </c>
      <c r="E6" s="56" t="n">
        <v>1</v>
      </c>
      <c r="F6" s="56" t="n">
        <v>1</v>
      </c>
      <c r="G6" s="56" t="n">
        <v>1</v>
      </c>
      <c r="H6" s="56" t="n">
        <v>1</v>
      </c>
      <c r="I6" s="57" t="n">
        <v>1</v>
      </c>
      <c r="J6" s="57" t="n">
        <v>1</v>
      </c>
      <c r="K6" s="57" t="n">
        <v>1</v>
      </c>
      <c r="L6" s="57" t="n">
        <v>1</v>
      </c>
      <c r="M6" s="57" t="n">
        <v>1</v>
      </c>
      <c r="N6" s="57" t="n">
        <v>1</v>
      </c>
      <c r="O6" s="57"/>
      <c r="P6" s="57"/>
      <c r="Q6" s="57"/>
      <c r="R6" s="57"/>
      <c r="S6" s="57"/>
      <c r="T6" s="58" t="n">
        <f aca="false">$D6*E6</f>
        <v>101.54</v>
      </c>
      <c r="U6" s="58" t="n">
        <f aca="false">$D6*F6</f>
        <v>101.54</v>
      </c>
      <c r="V6" s="58" t="n">
        <f aca="false">$D6*G6</f>
        <v>101.54</v>
      </c>
      <c r="W6" s="58" t="n">
        <f aca="false">$D6*H6</f>
        <v>101.54</v>
      </c>
      <c r="X6" s="58" t="n">
        <f aca="false">$D6*I6</f>
        <v>101.54</v>
      </c>
      <c r="Y6" s="58" t="n">
        <f aca="false">$D6*J6</f>
        <v>101.54</v>
      </c>
      <c r="Z6" s="58" t="n">
        <f aca="false">$D6*K6</f>
        <v>101.54</v>
      </c>
      <c r="AA6" s="58" t="n">
        <f aca="false">$D6*L6</f>
        <v>101.54</v>
      </c>
      <c r="AB6" s="58" t="n">
        <f aca="false">$D6*M6</f>
        <v>101.54</v>
      </c>
      <c r="AC6" s="58" t="n">
        <f aca="false">$D6*N6</f>
        <v>101.54</v>
      </c>
    </row>
    <row r="7" customFormat="false" ht="15" hidden="false" customHeight="false" outlineLevel="0" collapsed="false">
      <c r="A7" s="60" t="n">
        <v>4</v>
      </c>
      <c r="B7" s="61" t="s">
        <v>178</v>
      </c>
      <c r="C7" s="62" t="s">
        <v>219</v>
      </c>
      <c r="D7" s="63" t="n">
        <f aca="false">VLOOKUP(C7,'[1]PREÇO ATUAL'!$A$1:$D$1048576,4,0)</f>
        <v>296.29</v>
      </c>
      <c r="E7" s="64"/>
      <c r="F7" s="64"/>
      <c r="G7" s="64" t="n">
        <v>1</v>
      </c>
      <c r="H7" s="64"/>
      <c r="I7" s="65"/>
      <c r="J7" s="65" t="n">
        <v>1</v>
      </c>
      <c r="K7" s="65"/>
      <c r="L7" s="65"/>
      <c r="M7" s="65" t="n">
        <v>1</v>
      </c>
      <c r="N7" s="65"/>
      <c r="O7" s="65"/>
      <c r="P7" s="65"/>
      <c r="Q7" s="65"/>
      <c r="R7" s="65"/>
      <c r="S7" s="65"/>
      <c r="T7" s="66" t="n">
        <f aca="false">$D7*E7</f>
        <v>0</v>
      </c>
      <c r="U7" s="66" t="n">
        <f aca="false">$D7*F7</f>
        <v>0</v>
      </c>
      <c r="V7" s="66" t="n">
        <f aca="false">$D7*G7</f>
        <v>296.29</v>
      </c>
      <c r="W7" s="66" t="n">
        <f aca="false">$D7*H7</f>
        <v>0</v>
      </c>
      <c r="X7" s="66" t="n">
        <f aca="false">$D7*I7</f>
        <v>0</v>
      </c>
      <c r="Y7" s="66" t="n">
        <f aca="false">$D7*J7</f>
        <v>296.29</v>
      </c>
      <c r="Z7" s="66" t="n">
        <f aca="false">$D7*K7</f>
        <v>0</v>
      </c>
      <c r="AA7" s="66" t="n">
        <f aca="false">$D7*L7</f>
        <v>0</v>
      </c>
      <c r="AB7" s="66" t="n">
        <f aca="false">$D7*M7</f>
        <v>296.29</v>
      </c>
      <c r="AC7" s="66" t="n">
        <f aca="false">$D7*N7</f>
        <v>0</v>
      </c>
    </row>
    <row r="8" customFormat="false" ht="15.75" hidden="false" customHeight="true" outlineLevel="0" collapsed="false">
      <c r="A8" s="52" t="n">
        <v>5</v>
      </c>
      <c r="B8" s="53" t="s">
        <v>220</v>
      </c>
      <c r="C8" s="54" t="s">
        <v>221</v>
      </c>
      <c r="D8" s="55" t="n">
        <f aca="false">VLOOKUP(C8,'[1]PREÇO ATUAL'!$A$1:$D$1048576,4,0)</f>
        <v>475</v>
      </c>
      <c r="E8" s="56"/>
      <c r="F8" s="56"/>
      <c r="G8" s="56"/>
      <c r="H8" s="56" t="n">
        <v>1</v>
      </c>
      <c r="I8" s="57"/>
      <c r="J8" s="57"/>
      <c r="K8" s="57"/>
      <c r="L8" s="57" t="n">
        <v>1</v>
      </c>
      <c r="M8" s="57"/>
      <c r="N8" s="57"/>
      <c r="O8" s="57"/>
      <c r="P8" s="57"/>
      <c r="Q8" s="57"/>
      <c r="R8" s="57"/>
      <c r="S8" s="57"/>
      <c r="T8" s="58" t="n">
        <f aca="false">$D8*E8</f>
        <v>0</v>
      </c>
      <c r="U8" s="58" t="n">
        <f aca="false">$D8*F8</f>
        <v>0</v>
      </c>
      <c r="V8" s="58" t="n">
        <f aca="false">$D8*G8</f>
        <v>0</v>
      </c>
      <c r="W8" s="58" t="n">
        <f aca="false">$D8*H8</f>
        <v>475</v>
      </c>
      <c r="X8" s="58" t="n">
        <f aca="false">$D8*I8</f>
        <v>0</v>
      </c>
      <c r="Y8" s="58" t="n">
        <f aca="false">$D8*J8</f>
        <v>0</v>
      </c>
      <c r="Z8" s="58" t="n">
        <f aca="false">$D8*K8</f>
        <v>0</v>
      </c>
      <c r="AA8" s="58" t="n">
        <f aca="false">$D8*L8</f>
        <v>475</v>
      </c>
      <c r="AB8" s="58" t="n">
        <f aca="false">$D8*M8</f>
        <v>0</v>
      </c>
      <c r="AC8" s="58" t="n">
        <f aca="false">$D8*N8</f>
        <v>0</v>
      </c>
    </row>
    <row r="9" customFormat="false" ht="15.75" hidden="false" customHeight="true" outlineLevel="0" collapsed="false">
      <c r="A9" s="60" t="n">
        <v>6</v>
      </c>
      <c r="B9" s="61" t="s">
        <v>179</v>
      </c>
      <c r="C9" s="62" t="s">
        <v>180</v>
      </c>
      <c r="D9" s="63" t="n">
        <f aca="false">VLOOKUP(C9,'[1]PREÇO ATUAL'!$A$1:$D$1048576,4,0)</f>
        <v>45.09</v>
      </c>
      <c r="E9" s="64"/>
      <c r="F9" s="64"/>
      <c r="G9" s="64"/>
      <c r="H9" s="64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6" t="n">
        <f aca="false">$D9*E9</f>
        <v>0</v>
      </c>
      <c r="U9" s="66" t="n">
        <f aca="false">$D9*F9</f>
        <v>0</v>
      </c>
      <c r="V9" s="66" t="n">
        <f aca="false">$D9*G9</f>
        <v>0</v>
      </c>
      <c r="W9" s="66" t="n">
        <f aca="false">$D9*H9</f>
        <v>0</v>
      </c>
      <c r="X9" s="66" t="n">
        <f aca="false">$D9*I9</f>
        <v>0</v>
      </c>
      <c r="Y9" s="66" t="n">
        <f aca="false">$D9*J9</f>
        <v>0</v>
      </c>
      <c r="Z9" s="66" t="n">
        <f aca="false">$D9*K9</f>
        <v>0</v>
      </c>
      <c r="AA9" s="66" t="n">
        <f aca="false">$D9*L9</f>
        <v>0</v>
      </c>
      <c r="AB9" s="66" t="n">
        <f aca="false">$D9*M9</f>
        <v>0</v>
      </c>
      <c r="AC9" s="66" t="n">
        <f aca="false">$D9*N9</f>
        <v>0</v>
      </c>
    </row>
    <row r="10" customFormat="false" ht="15.75" hidden="false" customHeight="true" outlineLevel="0" collapsed="false">
      <c r="A10" s="52" t="n">
        <v>7</v>
      </c>
      <c r="B10" s="53" t="s">
        <v>222</v>
      </c>
      <c r="C10" s="54" t="s">
        <v>223</v>
      </c>
      <c r="D10" s="55" t="n">
        <f aca="false">VLOOKUP(C10,'[1]PREÇO ATUAL'!$A$1:$D$1048576,4,0)</f>
        <v>91.54</v>
      </c>
      <c r="E10" s="104" t="n">
        <v>4.8</v>
      </c>
      <c r="F10" s="104" t="n">
        <v>4.8</v>
      </c>
      <c r="G10" s="104" t="n">
        <v>4.8</v>
      </c>
      <c r="H10" s="104" t="n">
        <v>4.8</v>
      </c>
      <c r="I10" s="104" t="n">
        <v>4.8</v>
      </c>
      <c r="J10" s="104" t="n">
        <v>4.8</v>
      </c>
      <c r="K10" s="104" t="n">
        <v>4.8</v>
      </c>
      <c r="L10" s="104" t="n">
        <v>4.8</v>
      </c>
      <c r="M10" s="104" t="n">
        <v>4.8</v>
      </c>
      <c r="N10" s="105" t="n">
        <v>4.8</v>
      </c>
      <c r="O10" s="104"/>
      <c r="P10" s="104"/>
      <c r="Q10" s="104"/>
      <c r="R10" s="104"/>
      <c r="S10" s="104"/>
      <c r="T10" s="58" t="n">
        <f aca="false">$D10*E10</f>
        <v>439.392</v>
      </c>
      <c r="U10" s="58" t="n">
        <f aca="false">$D10*F10</f>
        <v>439.392</v>
      </c>
      <c r="V10" s="58" t="n">
        <f aca="false">$D10*G10</f>
        <v>439.392</v>
      </c>
      <c r="W10" s="58" t="n">
        <f aca="false">$D10*H10</f>
        <v>439.392</v>
      </c>
      <c r="X10" s="58" t="n">
        <f aca="false">$D10*I10</f>
        <v>439.392</v>
      </c>
      <c r="Y10" s="58" t="n">
        <f aca="false">$D10*J10</f>
        <v>439.392</v>
      </c>
      <c r="Z10" s="58" t="n">
        <f aca="false">$D10*K10</f>
        <v>439.392</v>
      </c>
      <c r="AA10" s="58" t="n">
        <f aca="false">$D10*L10</f>
        <v>439.392</v>
      </c>
      <c r="AB10" s="58" t="n">
        <f aca="false">$D10*M10</f>
        <v>439.392</v>
      </c>
      <c r="AC10" s="58" t="n">
        <f aca="false">$D10*N10</f>
        <v>439.392</v>
      </c>
    </row>
    <row r="11" customFormat="false" ht="15.75" hidden="false" customHeight="true" outlineLevel="0" collapsed="false">
      <c r="A11" s="60" t="n">
        <v>8</v>
      </c>
      <c r="B11" s="61" t="s">
        <v>64</v>
      </c>
      <c r="C11" s="62" t="s">
        <v>65</v>
      </c>
      <c r="D11" s="63" t="n">
        <f aca="false">VLOOKUP(C11,'[1]PREÇO ATUAL'!$A$1:$D$1048576,4,0)</f>
        <v>342</v>
      </c>
      <c r="E11" s="70" t="n">
        <v>1.3</v>
      </c>
      <c r="F11" s="70" t="n">
        <v>1.95</v>
      </c>
      <c r="G11" s="70" t="n">
        <v>1.95</v>
      </c>
      <c r="H11" s="70" t="n">
        <v>3.95</v>
      </c>
      <c r="I11" s="63" t="n">
        <v>1.45</v>
      </c>
      <c r="J11" s="63" t="n">
        <v>1.8</v>
      </c>
      <c r="K11" s="63" t="n">
        <v>2</v>
      </c>
      <c r="L11" s="63" t="n">
        <v>4.1</v>
      </c>
      <c r="M11" s="63" t="n">
        <v>1.25</v>
      </c>
      <c r="N11" s="63" t="n">
        <v>1.9</v>
      </c>
      <c r="O11" s="63"/>
      <c r="P11" s="63"/>
      <c r="Q11" s="63"/>
      <c r="R11" s="63"/>
      <c r="S11" s="63"/>
      <c r="T11" s="66" t="n">
        <f aca="false">D11*E11</f>
        <v>444.6</v>
      </c>
      <c r="U11" s="66" t="n">
        <f aca="false">$D11*F11</f>
        <v>666.9</v>
      </c>
      <c r="V11" s="66" t="n">
        <f aca="false">$D11*G11</f>
        <v>666.9</v>
      </c>
      <c r="W11" s="66" t="n">
        <f aca="false">$D11*H11</f>
        <v>1350.9</v>
      </c>
      <c r="X11" s="66" t="n">
        <f aca="false">$D11*I11</f>
        <v>495.9</v>
      </c>
      <c r="Y11" s="66" t="n">
        <f aca="false">$D11*J11</f>
        <v>615.6</v>
      </c>
      <c r="Z11" s="66" t="n">
        <f aca="false">$D11*K11</f>
        <v>684</v>
      </c>
      <c r="AA11" s="66" t="n">
        <f aca="false">$D11*L11</f>
        <v>1402.2</v>
      </c>
      <c r="AB11" s="66" t="n">
        <f aca="false">$D11*M11</f>
        <v>427.5</v>
      </c>
      <c r="AC11" s="66" t="n">
        <f aca="false">$D11*N11</f>
        <v>649.8</v>
      </c>
    </row>
    <row r="12" customFormat="false" ht="15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customFormat="false" ht="15.75" hidden="false" customHeight="true" outlineLevel="0" collapsed="false">
      <c r="A13" s="183" t="s">
        <v>224</v>
      </c>
      <c r="B13" s="183"/>
      <c r="C13" s="183"/>
      <c r="D13" s="183"/>
      <c r="E13" s="35" t="s">
        <v>29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6" t="s">
        <v>30</v>
      </c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</row>
    <row r="14" customFormat="false" ht="15" hidden="false" customHeight="true" outlineLevel="0" collapsed="false">
      <c r="A14" s="108"/>
      <c r="B14" s="184"/>
      <c r="C14" s="184"/>
      <c r="D14" s="184"/>
      <c r="E14" s="189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43" t="n">
        <f aca="false">MROUND(SUM(T16:T24),1)</f>
        <v>1682</v>
      </c>
      <c r="U14" s="43" t="n">
        <f aca="false">MROUND(SUM(U16:U24),1)</f>
        <v>1901</v>
      </c>
      <c r="V14" s="43" t="n">
        <f aca="false">MROUND(SUM(V16:V24),1)</f>
        <v>1836</v>
      </c>
      <c r="W14" s="43" t="n">
        <f aca="false">MROUND(SUM(W16:W24),1)</f>
        <v>1884</v>
      </c>
      <c r="X14" s="43" t="n">
        <f aca="false">MROUND(SUM(X16:X24),1)</f>
        <v>1699</v>
      </c>
      <c r="Y14" s="43" t="n">
        <f aca="false">MROUND(SUM(Y16:Y24),1)</f>
        <v>1970</v>
      </c>
      <c r="Z14" s="43" t="n">
        <f aca="false">MROUND(SUM(Z16:Z24),1)</f>
        <v>1836</v>
      </c>
      <c r="AA14" s="43" t="n">
        <f aca="false">MROUND(SUM(AA16:AA24),1)</f>
        <v>1901</v>
      </c>
      <c r="AB14" s="43" t="n">
        <f aca="false">MROUND(SUM(AB16:AB24),1)</f>
        <v>1682</v>
      </c>
      <c r="AC14" s="43" t="n">
        <f aca="false">MROUND(SUM(AC16:AC24),1)</f>
        <v>1884</v>
      </c>
      <c r="AD14" s="43" t="n">
        <f aca="false">MROUND(SUM(AD16:AD24),1)</f>
        <v>1853</v>
      </c>
      <c r="AE14" s="43" t="n">
        <f aca="false">MROUND(SUM(AE16:AE24),1)</f>
        <v>2859</v>
      </c>
      <c r="AF14" s="43" t="n">
        <f aca="false">MROUND(SUM(AF16:AF24),1)</f>
        <v>1682</v>
      </c>
      <c r="AG14" s="43" t="n">
        <f aca="false">MROUND(SUM(AG16:AG24),1)</f>
        <v>1901</v>
      </c>
      <c r="AH14" s="43" t="n">
        <f aca="false">MROUND(SUM(AH16:AH24),1)</f>
        <v>1836</v>
      </c>
    </row>
    <row r="15" customFormat="false" ht="15" hidden="false" customHeight="false" outlineLevel="0" collapsed="false">
      <c r="A15" s="45" t="s">
        <v>32</v>
      </c>
      <c r="B15" s="45" t="s">
        <v>33</v>
      </c>
      <c r="C15" s="46" t="s">
        <v>34</v>
      </c>
      <c r="D15" s="47" t="s">
        <v>35</v>
      </c>
      <c r="E15" s="48" t="s">
        <v>36</v>
      </c>
      <c r="F15" s="48" t="s">
        <v>37</v>
      </c>
      <c r="G15" s="48" t="s">
        <v>38</v>
      </c>
      <c r="H15" s="48" t="s">
        <v>39</v>
      </c>
      <c r="I15" s="48" t="s">
        <v>40</v>
      </c>
      <c r="J15" s="48" t="s">
        <v>41</v>
      </c>
      <c r="K15" s="48" t="s">
        <v>42</v>
      </c>
      <c r="L15" s="48" t="s">
        <v>43</v>
      </c>
      <c r="M15" s="48" t="s">
        <v>44</v>
      </c>
      <c r="N15" s="48" t="s">
        <v>45</v>
      </c>
      <c r="O15" s="48" t="s">
        <v>142</v>
      </c>
      <c r="P15" s="48" t="s">
        <v>143</v>
      </c>
      <c r="Q15" s="48" t="s">
        <v>144</v>
      </c>
      <c r="R15" s="48" t="s">
        <v>145</v>
      </c>
      <c r="S15" s="48" t="s">
        <v>146</v>
      </c>
      <c r="T15" s="48" t="n">
        <v>20000</v>
      </c>
      <c r="U15" s="48" t="n">
        <v>40000</v>
      </c>
      <c r="V15" s="48" t="n">
        <v>60000</v>
      </c>
      <c r="W15" s="48" t="n">
        <v>80000</v>
      </c>
      <c r="X15" s="48" t="n">
        <v>100000</v>
      </c>
      <c r="Y15" s="48" t="n">
        <v>120000</v>
      </c>
      <c r="Z15" s="48" t="n">
        <v>140000</v>
      </c>
      <c r="AA15" s="48" t="n">
        <v>160000</v>
      </c>
      <c r="AB15" s="48" t="n">
        <v>180000</v>
      </c>
      <c r="AC15" s="48" t="n">
        <v>200000</v>
      </c>
      <c r="AD15" s="48" t="n">
        <f aca="false">AC15+20000</f>
        <v>220000</v>
      </c>
      <c r="AE15" s="48" t="n">
        <f aca="false">AD15+20000</f>
        <v>240000</v>
      </c>
      <c r="AF15" s="48" t="n">
        <f aca="false">AE15+20000</f>
        <v>260000</v>
      </c>
      <c r="AG15" s="48" t="n">
        <f aca="false">AF15+20000</f>
        <v>280000</v>
      </c>
      <c r="AH15" s="48" t="n">
        <f aca="false">AG15+20000</f>
        <v>300000</v>
      </c>
    </row>
    <row r="16" customFormat="false" ht="15" hidden="false" customHeight="false" outlineLevel="0" collapsed="false">
      <c r="A16" s="52" t="n">
        <v>1</v>
      </c>
      <c r="B16" s="53" t="s">
        <v>225</v>
      </c>
      <c r="C16" s="54" t="s">
        <v>226</v>
      </c>
      <c r="D16" s="55" t="n">
        <f aca="false">VLOOKUP(C16,'[1]PREÇO ATUAL'!$A$1:$D$1048576,4,0)</f>
        <v>110.2</v>
      </c>
      <c r="E16" s="56" t="n">
        <v>1</v>
      </c>
      <c r="F16" s="56" t="n">
        <v>1</v>
      </c>
      <c r="G16" s="56" t="n">
        <v>1</v>
      </c>
      <c r="H16" s="56" t="n">
        <v>1</v>
      </c>
      <c r="I16" s="57" t="n">
        <v>1</v>
      </c>
      <c r="J16" s="57" t="n">
        <v>1</v>
      </c>
      <c r="K16" s="57" t="n">
        <v>1</v>
      </c>
      <c r="L16" s="57" t="n">
        <v>1</v>
      </c>
      <c r="M16" s="57" t="n">
        <v>1</v>
      </c>
      <c r="N16" s="56" t="n">
        <v>1</v>
      </c>
      <c r="O16" s="56" t="n">
        <v>1</v>
      </c>
      <c r="P16" s="56" t="n">
        <v>1</v>
      </c>
      <c r="Q16" s="56" t="n">
        <v>1</v>
      </c>
      <c r="R16" s="56" t="n">
        <v>1</v>
      </c>
      <c r="S16" s="56" t="n">
        <v>1</v>
      </c>
      <c r="T16" s="58" t="n">
        <f aca="false">$D16*E16</f>
        <v>110.2</v>
      </c>
      <c r="U16" s="58" t="n">
        <f aca="false">$D16*F16</f>
        <v>110.2</v>
      </c>
      <c r="V16" s="58" t="n">
        <f aca="false">$D16*G16</f>
        <v>110.2</v>
      </c>
      <c r="W16" s="58" t="n">
        <f aca="false">$D16*H16</f>
        <v>110.2</v>
      </c>
      <c r="X16" s="58" t="n">
        <f aca="false">$D16*I16</f>
        <v>110.2</v>
      </c>
      <c r="Y16" s="58" t="n">
        <f aca="false">$D16*J16</f>
        <v>110.2</v>
      </c>
      <c r="Z16" s="58" t="n">
        <f aca="false">$D16*K16</f>
        <v>110.2</v>
      </c>
      <c r="AA16" s="58" t="n">
        <f aca="false">$D16*L16</f>
        <v>110.2</v>
      </c>
      <c r="AB16" s="58" t="n">
        <f aca="false">$D16*M16</f>
        <v>110.2</v>
      </c>
      <c r="AC16" s="58" t="n">
        <f aca="false">$D16*N16</f>
        <v>110.2</v>
      </c>
      <c r="AD16" s="58" t="n">
        <f aca="false">$D16*O16</f>
        <v>110.2</v>
      </c>
      <c r="AE16" s="58" t="n">
        <f aca="false">$D16*P16</f>
        <v>110.2</v>
      </c>
      <c r="AF16" s="58" t="n">
        <f aca="false">$D16*Q16</f>
        <v>110.2</v>
      </c>
      <c r="AG16" s="58" t="n">
        <f aca="false">$D16*R16</f>
        <v>110.2</v>
      </c>
      <c r="AH16" s="58" t="n">
        <f aca="false">$D16*S16</f>
        <v>110.2</v>
      </c>
    </row>
    <row r="17" customFormat="false" ht="15" hidden="false" customHeight="false" outlineLevel="0" collapsed="false">
      <c r="A17" s="60" t="n">
        <v>2</v>
      </c>
      <c r="B17" s="61" t="s">
        <v>50</v>
      </c>
      <c r="C17" s="62" t="s">
        <v>218</v>
      </c>
      <c r="D17" s="63" t="n">
        <f aca="false">VLOOKUP(C17,'[1]PREÇO ATUAL'!$A$1:$D$1048576,4,0)</f>
        <v>379</v>
      </c>
      <c r="E17" s="64" t="n">
        <v>1</v>
      </c>
      <c r="F17" s="64" t="n">
        <v>1</v>
      </c>
      <c r="G17" s="64" t="n">
        <v>1</v>
      </c>
      <c r="H17" s="64" t="n">
        <v>1</v>
      </c>
      <c r="I17" s="65" t="n">
        <v>1</v>
      </c>
      <c r="J17" s="65" t="n">
        <v>1</v>
      </c>
      <c r="K17" s="65" t="n">
        <v>1</v>
      </c>
      <c r="L17" s="65" t="n">
        <v>1</v>
      </c>
      <c r="M17" s="65" t="n">
        <v>1</v>
      </c>
      <c r="N17" s="64" t="n">
        <v>1</v>
      </c>
      <c r="O17" s="64" t="n">
        <v>1</v>
      </c>
      <c r="P17" s="64" t="n">
        <v>1</v>
      </c>
      <c r="Q17" s="64" t="n">
        <v>1</v>
      </c>
      <c r="R17" s="64" t="n">
        <v>1</v>
      </c>
      <c r="S17" s="64" t="n">
        <v>1</v>
      </c>
      <c r="T17" s="66" t="n">
        <f aca="false">$D17*E17</f>
        <v>379</v>
      </c>
      <c r="U17" s="66" t="n">
        <f aca="false">$D17*F17</f>
        <v>379</v>
      </c>
      <c r="V17" s="66" t="n">
        <f aca="false">$D17*G17</f>
        <v>379</v>
      </c>
      <c r="W17" s="66" t="n">
        <f aca="false">$D17*H17</f>
        <v>379</v>
      </c>
      <c r="X17" s="66" t="n">
        <f aca="false">$D17*I17</f>
        <v>379</v>
      </c>
      <c r="Y17" s="66" t="n">
        <f aca="false">$D17*J17</f>
        <v>379</v>
      </c>
      <c r="Z17" s="66" t="n">
        <f aca="false">$D17*K17</f>
        <v>379</v>
      </c>
      <c r="AA17" s="66" t="n">
        <f aca="false">$D17*L17</f>
        <v>379</v>
      </c>
      <c r="AB17" s="66" t="n">
        <f aca="false">$D17*M17</f>
        <v>379</v>
      </c>
      <c r="AC17" s="66" t="n">
        <f aca="false">$D17*N17</f>
        <v>379</v>
      </c>
      <c r="AD17" s="66" t="n">
        <f aca="false">$D17*O17</f>
        <v>379</v>
      </c>
      <c r="AE17" s="66" t="n">
        <f aca="false">$D17*P17</f>
        <v>379</v>
      </c>
      <c r="AF17" s="66" t="n">
        <f aca="false">$D17*Q17</f>
        <v>379</v>
      </c>
      <c r="AG17" s="66" t="n">
        <f aca="false">$D17*R17</f>
        <v>379</v>
      </c>
      <c r="AH17" s="66" t="n">
        <f aca="false">$D17*S17</f>
        <v>379</v>
      </c>
    </row>
    <row r="18" customFormat="false" ht="15" hidden="false" customHeight="false" outlineLevel="0" collapsed="false">
      <c r="A18" s="52" t="n">
        <v>3</v>
      </c>
      <c r="B18" s="53" t="s">
        <v>116</v>
      </c>
      <c r="C18" s="54" t="s">
        <v>227</v>
      </c>
      <c r="D18" s="55" t="n">
        <f aca="false">VLOOKUP(C18,'[1]PREÇO ATUAL'!$A$1:$D$1048576,4,0)</f>
        <v>181.5</v>
      </c>
      <c r="E18" s="56" t="n">
        <v>1</v>
      </c>
      <c r="F18" s="56" t="n">
        <v>1</v>
      </c>
      <c r="G18" s="56" t="n">
        <v>1</v>
      </c>
      <c r="H18" s="56" t="n">
        <v>1</v>
      </c>
      <c r="I18" s="57" t="n">
        <v>1</v>
      </c>
      <c r="J18" s="57" t="n">
        <v>1</v>
      </c>
      <c r="K18" s="57" t="n">
        <v>1</v>
      </c>
      <c r="L18" s="57" t="n">
        <v>1</v>
      </c>
      <c r="M18" s="57" t="n">
        <v>1</v>
      </c>
      <c r="N18" s="56" t="n">
        <v>1</v>
      </c>
      <c r="O18" s="56" t="n">
        <v>1</v>
      </c>
      <c r="P18" s="56" t="n">
        <v>1</v>
      </c>
      <c r="Q18" s="56" t="n">
        <v>1</v>
      </c>
      <c r="R18" s="56" t="n">
        <v>1</v>
      </c>
      <c r="S18" s="56" t="n">
        <v>1</v>
      </c>
      <c r="T18" s="58" t="n">
        <f aca="false">$D18*E18</f>
        <v>181.5</v>
      </c>
      <c r="U18" s="58" t="n">
        <f aca="false">$D18*F18</f>
        <v>181.5</v>
      </c>
      <c r="V18" s="58" t="n">
        <f aca="false">$D18*G18</f>
        <v>181.5</v>
      </c>
      <c r="W18" s="58" t="n">
        <f aca="false">$D18*H18</f>
        <v>181.5</v>
      </c>
      <c r="X18" s="58" t="n">
        <f aca="false">$D18*I18</f>
        <v>181.5</v>
      </c>
      <c r="Y18" s="58" t="n">
        <f aca="false">$D18*J18</f>
        <v>181.5</v>
      </c>
      <c r="Z18" s="58" t="n">
        <f aca="false">$D18*K18</f>
        <v>181.5</v>
      </c>
      <c r="AA18" s="58" t="n">
        <f aca="false">$D18*L18</f>
        <v>181.5</v>
      </c>
      <c r="AB18" s="58" t="n">
        <f aca="false">$D18*M18</f>
        <v>181.5</v>
      </c>
      <c r="AC18" s="58" t="n">
        <f aca="false">$D18*N18</f>
        <v>181.5</v>
      </c>
      <c r="AD18" s="58" t="n">
        <f aca="false">$D18*O18</f>
        <v>181.5</v>
      </c>
      <c r="AE18" s="58" t="n">
        <f aca="false">$D18*P18</f>
        <v>181.5</v>
      </c>
      <c r="AF18" s="58" t="n">
        <f aca="false">$D18*Q18</f>
        <v>181.5</v>
      </c>
      <c r="AG18" s="58" t="n">
        <f aca="false">$D18*R18</f>
        <v>181.5</v>
      </c>
      <c r="AH18" s="58" t="n">
        <f aca="false">$D18*S18</f>
        <v>181.5</v>
      </c>
    </row>
    <row r="19" customFormat="false" ht="38.25" hidden="false" customHeight="false" outlineLevel="0" collapsed="false">
      <c r="A19" s="60" t="n">
        <v>4</v>
      </c>
      <c r="B19" s="73" t="s">
        <v>228</v>
      </c>
      <c r="C19" s="62" t="s">
        <v>180</v>
      </c>
      <c r="D19" s="63" t="n">
        <f aca="false">VLOOKUP(C19,'[1]PREÇO ATUAL'!$A$1:$D$1048576,4,0)</f>
        <v>45.09</v>
      </c>
      <c r="E19" s="70"/>
      <c r="F19" s="70" t="n">
        <v>0.7</v>
      </c>
      <c r="G19" s="70"/>
      <c r="H19" s="70" t="n">
        <v>0.7</v>
      </c>
      <c r="I19" s="63"/>
      <c r="J19" s="63" t="n">
        <v>0.7</v>
      </c>
      <c r="K19" s="63"/>
      <c r="L19" s="63" t="n">
        <v>0.7</v>
      </c>
      <c r="M19" s="63"/>
      <c r="N19" s="70" t="n">
        <v>0.7</v>
      </c>
      <c r="O19" s="81"/>
      <c r="P19" s="63" t="n">
        <v>0.7</v>
      </c>
      <c r="Q19" s="63"/>
      <c r="R19" s="63" t="n">
        <v>0.7</v>
      </c>
      <c r="S19" s="63"/>
      <c r="T19" s="66" t="n">
        <f aca="false">$D19*E19</f>
        <v>0</v>
      </c>
      <c r="U19" s="66" t="n">
        <f aca="false">$D19*F19</f>
        <v>31.563</v>
      </c>
      <c r="V19" s="66" t="n">
        <f aca="false">$D19*G19</f>
        <v>0</v>
      </c>
      <c r="W19" s="66" t="n">
        <f aca="false">$D19*H19</f>
        <v>31.563</v>
      </c>
      <c r="X19" s="66" t="n">
        <f aca="false">$D19*I19</f>
        <v>0</v>
      </c>
      <c r="Y19" s="66" t="n">
        <f aca="false">$D19*J19</f>
        <v>31.563</v>
      </c>
      <c r="Z19" s="66" t="n">
        <f aca="false">$D19*K19</f>
        <v>0</v>
      </c>
      <c r="AA19" s="66" t="n">
        <f aca="false">$D19*L19</f>
        <v>31.563</v>
      </c>
      <c r="AB19" s="66" t="n">
        <f aca="false">$D19*M19</f>
        <v>0</v>
      </c>
      <c r="AC19" s="66" t="n">
        <f aca="false">$D19*N19</f>
        <v>31.563</v>
      </c>
      <c r="AD19" s="66" t="n">
        <f aca="false">$D19*O19</f>
        <v>0</v>
      </c>
      <c r="AE19" s="66" t="n">
        <f aca="false">$D19*P19</f>
        <v>31.563</v>
      </c>
      <c r="AF19" s="66" t="n">
        <f aca="false">$D19*Q19</f>
        <v>0</v>
      </c>
      <c r="AG19" s="66" t="n">
        <f aca="false">$D19*R19</f>
        <v>31.563</v>
      </c>
      <c r="AH19" s="66" t="n">
        <f aca="false">$D19*S19</f>
        <v>0</v>
      </c>
    </row>
    <row r="20" customFormat="false" ht="25.5" hidden="false" customHeight="false" outlineLevel="0" collapsed="false">
      <c r="A20" s="52" t="n">
        <v>5</v>
      </c>
      <c r="B20" s="72" t="s">
        <v>229</v>
      </c>
      <c r="C20" s="54" t="s">
        <v>230</v>
      </c>
      <c r="D20" s="55" t="n">
        <f aca="false">VLOOKUP(C20,'[1]PREÇO ATUAL'!$A$1:$D$1048576,4,0)</f>
        <v>289.35</v>
      </c>
      <c r="E20" s="56"/>
      <c r="F20" s="56"/>
      <c r="G20" s="56"/>
      <c r="H20" s="56"/>
      <c r="I20" s="57"/>
      <c r="J20" s="57"/>
      <c r="K20" s="57"/>
      <c r="L20" s="57"/>
      <c r="M20" s="57"/>
      <c r="N20" s="56"/>
      <c r="O20" s="56"/>
      <c r="P20" s="56"/>
      <c r="Q20" s="56"/>
      <c r="R20" s="56"/>
      <c r="S20" s="56"/>
      <c r="T20" s="58" t="n">
        <f aca="false">$D20*E20</f>
        <v>0</v>
      </c>
      <c r="U20" s="58" t="n">
        <f aca="false">$D20*F20</f>
        <v>0</v>
      </c>
      <c r="V20" s="58" t="n">
        <f aca="false">$D20*G20</f>
        <v>0</v>
      </c>
      <c r="W20" s="58" t="n">
        <f aca="false">$D20*H20</f>
        <v>0</v>
      </c>
      <c r="X20" s="58" t="n">
        <f aca="false">$D20*I20</f>
        <v>0</v>
      </c>
      <c r="Y20" s="58" t="n">
        <f aca="false">$D20*J20</f>
        <v>0</v>
      </c>
      <c r="Z20" s="58" t="n">
        <f aca="false">$D20*K20</f>
        <v>0</v>
      </c>
      <c r="AA20" s="58" t="n">
        <f aca="false">$D20*L20</f>
        <v>0</v>
      </c>
      <c r="AB20" s="58" t="n">
        <f aca="false">$D20*M20</f>
        <v>0</v>
      </c>
      <c r="AC20" s="58" t="n">
        <f aca="false">$D20*N20</f>
        <v>0</v>
      </c>
      <c r="AD20" s="58" t="n">
        <f aca="false">$D20*O20</f>
        <v>0</v>
      </c>
      <c r="AE20" s="58" t="n">
        <f aca="false">$D20*P20</f>
        <v>0</v>
      </c>
      <c r="AF20" s="58" t="n">
        <f aca="false">$D20*Q20</f>
        <v>0</v>
      </c>
      <c r="AG20" s="58" t="n">
        <f aca="false">$D20*R20</f>
        <v>0</v>
      </c>
      <c r="AH20" s="58" t="n">
        <f aca="false">$D20*S20</f>
        <v>0</v>
      </c>
    </row>
    <row r="21" customFormat="false" ht="15" hidden="false" customHeight="false" outlineLevel="0" collapsed="false">
      <c r="A21" s="60" t="n">
        <v>6</v>
      </c>
      <c r="B21" s="61" t="s">
        <v>231</v>
      </c>
      <c r="C21" s="62" t="s">
        <v>232</v>
      </c>
      <c r="D21" s="63" t="n">
        <f aca="false">VLOOKUP(C21,'[1]PREÇO ATUAL'!$A$1:$D$1048576,4,0)</f>
        <v>567.55</v>
      </c>
      <c r="E21" s="64"/>
      <c r="F21" s="64"/>
      <c r="G21" s="64"/>
      <c r="H21" s="64"/>
      <c r="I21" s="65"/>
      <c r="J21" s="65"/>
      <c r="K21" s="65"/>
      <c r="L21" s="65"/>
      <c r="M21" s="65"/>
      <c r="N21" s="64"/>
      <c r="O21" s="64"/>
      <c r="P21" s="64"/>
      <c r="Q21" s="64"/>
      <c r="R21" s="64"/>
      <c r="S21" s="64"/>
      <c r="T21" s="66" t="n">
        <f aca="false">$D21*E21</f>
        <v>0</v>
      </c>
      <c r="U21" s="66" t="n">
        <f aca="false">$D21*F21</f>
        <v>0</v>
      </c>
      <c r="V21" s="66" t="n">
        <f aca="false">$D21*G21</f>
        <v>0</v>
      </c>
      <c r="W21" s="66" t="n">
        <f aca="false">$D21*H21</f>
        <v>0</v>
      </c>
      <c r="X21" s="66" t="n">
        <f aca="false">$D21*I21</f>
        <v>0</v>
      </c>
      <c r="Y21" s="66" t="n">
        <f aca="false">$D21*J21</f>
        <v>0</v>
      </c>
      <c r="Z21" s="66" t="n">
        <f aca="false">$D21*K21</f>
        <v>0</v>
      </c>
      <c r="AA21" s="66" t="n">
        <f aca="false">$D21*L21</f>
        <v>0</v>
      </c>
      <c r="AB21" s="66" t="n">
        <f aca="false">$D21*M21</f>
        <v>0</v>
      </c>
      <c r="AC21" s="66" t="n">
        <f aca="false">$D21*N21</f>
        <v>0</v>
      </c>
      <c r="AD21" s="66" t="n">
        <f aca="false">$D21*O21</f>
        <v>0</v>
      </c>
      <c r="AE21" s="66" t="n">
        <f aca="false">$D21*P21</f>
        <v>0</v>
      </c>
      <c r="AF21" s="66" t="n">
        <f aca="false">$D21*Q21</f>
        <v>0</v>
      </c>
      <c r="AG21" s="66" t="n">
        <f aca="false">$D21*R21</f>
        <v>0</v>
      </c>
      <c r="AH21" s="66" t="n">
        <f aca="false">$D21*S21</f>
        <v>0</v>
      </c>
    </row>
    <row r="22" customFormat="false" ht="25.5" hidden="false" customHeight="false" outlineLevel="0" collapsed="false">
      <c r="A22" s="52" t="n">
        <v>7</v>
      </c>
      <c r="B22" s="72" t="s">
        <v>211</v>
      </c>
      <c r="C22" s="54" t="s">
        <v>233</v>
      </c>
      <c r="D22" s="55" t="n">
        <f aca="false">VLOOKUP(C22,'[1]PREÇO ATUAL'!$A$1:$D$1048576,4,0)</f>
        <v>0</v>
      </c>
      <c r="E22" s="56"/>
      <c r="F22" s="56"/>
      <c r="G22" s="56"/>
      <c r="H22" s="56"/>
      <c r="I22" s="57"/>
      <c r="J22" s="57"/>
      <c r="K22" s="57"/>
      <c r="L22" s="57"/>
      <c r="M22" s="57"/>
      <c r="N22" s="56"/>
      <c r="O22" s="56"/>
      <c r="P22" s="56"/>
      <c r="Q22" s="56"/>
      <c r="R22" s="56"/>
      <c r="S22" s="56"/>
      <c r="T22" s="58" t="n">
        <f aca="false">$D22*E22</f>
        <v>0</v>
      </c>
      <c r="U22" s="58" t="n">
        <f aca="false">$D22*F22</f>
        <v>0</v>
      </c>
      <c r="V22" s="58" t="n">
        <f aca="false">$D22*G22</f>
        <v>0</v>
      </c>
      <c r="W22" s="58" t="n">
        <f aca="false">$D22*H22</f>
        <v>0</v>
      </c>
      <c r="X22" s="58" t="n">
        <f aca="false">$D22*I22</f>
        <v>0</v>
      </c>
      <c r="Y22" s="58" t="n">
        <f aca="false">$D22*J22</f>
        <v>0</v>
      </c>
      <c r="Z22" s="58" t="n">
        <f aca="false">$D22*K22</f>
        <v>0</v>
      </c>
      <c r="AA22" s="58" t="n">
        <f aca="false">$D22*L22</f>
        <v>0</v>
      </c>
      <c r="AB22" s="58" t="n">
        <f aca="false">$D22*M22</f>
        <v>0</v>
      </c>
      <c r="AC22" s="58" t="n">
        <f aca="false">$D22*N22</f>
        <v>0</v>
      </c>
      <c r="AD22" s="58" t="n">
        <f aca="false">$D22*O22</f>
        <v>0</v>
      </c>
      <c r="AE22" s="58" t="n">
        <f aca="false">$D22*P22</f>
        <v>0</v>
      </c>
      <c r="AF22" s="58" t="n">
        <f aca="false">$D22*Q22</f>
        <v>0</v>
      </c>
      <c r="AG22" s="58" t="n">
        <f aca="false">$D22*R22</f>
        <v>0</v>
      </c>
      <c r="AH22" s="58" t="n">
        <f aca="false">$D22*S22</f>
        <v>0</v>
      </c>
    </row>
    <row r="23" customFormat="false" ht="15" hidden="false" customHeight="false" outlineLevel="0" collapsed="false">
      <c r="A23" s="60" t="n">
        <v>8</v>
      </c>
      <c r="B23" s="61" t="s">
        <v>222</v>
      </c>
      <c r="C23" s="62" t="s">
        <v>223</v>
      </c>
      <c r="D23" s="63" t="n">
        <f aca="false">VLOOKUP(C23,'[1]PREÇO ATUAL'!$A$1:$D$1048576,4,0)</f>
        <v>91.54</v>
      </c>
      <c r="E23" s="117" t="n">
        <v>6</v>
      </c>
      <c r="F23" s="117" t="n">
        <v>6</v>
      </c>
      <c r="G23" s="117" t="n">
        <v>6</v>
      </c>
      <c r="H23" s="117" t="n">
        <v>6</v>
      </c>
      <c r="I23" s="68" t="n">
        <v>6</v>
      </c>
      <c r="J23" s="68" t="n">
        <v>6</v>
      </c>
      <c r="K23" s="68" t="n">
        <v>6</v>
      </c>
      <c r="L23" s="68" t="n">
        <v>6</v>
      </c>
      <c r="M23" s="68" t="n">
        <v>6</v>
      </c>
      <c r="N23" s="117" t="n">
        <v>6</v>
      </c>
      <c r="O23" s="117" t="n">
        <v>6</v>
      </c>
      <c r="P23" s="117" t="n">
        <v>6</v>
      </c>
      <c r="Q23" s="117" t="n">
        <v>6</v>
      </c>
      <c r="R23" s="117" t="n">
        <v>6</v>
      </c>
      <c r="S23" s="117" t="n">
        <v>6</v>
      </c>
      <c r="T23" s="66" t="n">
        <f aca="false">$D23*E23</f>
        <v>549.24</v>
      </c>
      <c r="U23" s="66" t="n">
        <f aca="false">$D23*F23</f>
        <v>549.24</v>
      </c>
      <c r="V23" s="66" t="n">
        <f aca="false">$D23*G23</f>
        <v>549.24</v>
      </c>
      <c r="W23" s="66" t="n">
        <f aca="false">$D23*H23</f>
        <v>549.24</v>
      </c>
      <c r="X23" s="66" t="n">
        <f aca="false">$D23*I23</f>
        <v>549.24</v>
      </c>
      <c r="Y23" s="66" t="n">
        <f aca="false">$D23*J23</f>
        <v>549.24</v>
      </c>
      <c r="Z23" s="66" t="n">
        <f aca="false">$D23*K23</f>
        <v>549.24</v>
      </c>
      <c r="AA23" s="66" t="n">
        <f aca="false">$D23*L23</f>
        <v>549.24</v>
      </c>
      <c r="AB23" s="66" t="n">
        <f aca="false">$D23*M23</f>
        <v>549.24</v>
      </c>
      <c r="AC23" s="66" t="n">
        <f aca="false">$D23*N23</f>
        <v>549.24</v>
      </c>
      <c r="AD23" s="66" t="n">
        <f aca="false">$D23*O23</f>
        <v>549.24</v>
      </c>
      <c r="AE23" s="66" t="n">
        <f aca="false">$D23*P23</f>
        <v>549.24</v>
      </c>
      <c r="AF23" s="66" t="n">
        <f aca="false">$D23*Q23</f>
        <v>549.24</v>
      </c>
      <c r="AG23" s="66" t="n">
        <f aca="false">$D23*R23</f>
        <v>549.24</v>
      </c>
      <c r="AH23" s="66" t="n">
        <f aca="false">$D23*S23</f>
        <v>549.24</v>
      </c>
    </row>
    <row r="24" customFormat="false" ht="15" hidden="false" customHeight="false" outlineLevel="0" collapsed="false">
      <c r="A24" s="52" t="n">
        <v>9</v>
      </c>
      <c r="B24" s="53" t="s">
        <v>64</v>
      </c>
      <c r="C24" s="54" t="s">
        <v>65</v>
      </c>
      <c r="D24" s="55" t="n">
        <f aca="false">VLOOKUP(C24,'[1]PREÇO ATUAL'!$A$1:$D$1048576,4,0)</f>
        <v>342</v>
      </c>
      <c r="E24" s="84" t="n">
        <v>1.35</v>
      </c>
      <c r="F24" s="84" t="n">
        <v>1.9</v>
      </c>
      <c r="G24" s="84" t="n">
        <v>1.8</v>
      </c>
      <c r="H24" s="84" t="n">
        <v>1.85</v>
      </c>
      <c r="I24" s="85" t="n">
        <v>1.4</v>
      </c>
      <c r="J24" s="85" t="n">
        <v>2.1</v>
      </c>
      <c r="K24" s="85" t="n">
        <v>1.8</v>
      </c>
      <c r="L24" s="85" t="n">
        <v>1.9</v>
      </c>
      <c r="M24" s="85" t="n">
        <v>1.35</v>
      </c>
      <c r="N24" s="84" t="n">
        <v>1.85</v>
      </c>
      <c r="O24" s="84" t="n">
        <v>1.85</v>
      </c>
      <c r="P24" s="84" t="n">
        <v>4.7</v>
      </c>
      <c r="Q24" s="84" t="n">
        <v>1.35</v>
      </c>
      <c r="R24" s="84" t="n">
        <v>1.9</v>
      </c>
      <c r="S24" s="84" t="n">
        <v>1.8</v>
      </c>
      <c r="T24" s="58" t="n">
        <f aca="false">D24*E24</f>
        <v>461.7</v>
      </c>
      <c r="U24" s="58" t="n">
        <f aca="false">$D24*F24</f>
        <v>649.8</v>
      </c>
      <c r="V24" s="58" t="n">
        <f aca="false">$D24*G24</f>
        <v>615.6</v>
      </c>
      <c r="W24" s="58" t="n">
        <f aca="false">$D24*H24</f>
        <v>632.7</v>
      </c>
      <c r="X24" s="58" t="n">
        <f aca="false">$D24*I24</f>
        <v>478.8</v>
      </c>
      <c r="Y24" s="58" t="n">
        <f aca="false">$D24*J24</f>
        <v>718.2</v>
      </c>
      <c r="Z24" s="58" t="n">
        <f aca="false">$D24*K24</f>
        <v>615.6</v>
      </c>
      <c r="AA24" s="58" t="n">
        <f aca="false">$D24*L24</f>
        <v>649.8</v>
      </c>
      <c r="AB24" s="58" t="n">
        <f aca="false">$D24*M24</f>
        <v>461.7</v>
      </c>
      <c r="AC24" s="58" t="n">
        <f aca="false">$D24*N24</f>
        <v>632.7</v>
      </c>
      <c r="AD24" s="58" t="n">
        <f aca="false">$D24*O24</f>
        <v>632.7</v>
      </c>
      <c r="AE24" s="58" t="n">
        <f aca="false">$D24*P24</f>
        <v>1607.4</v>
      </c>
      <c r="AF24" s="58" t="n">
        <f aca="false">$D24*Q24</f>
        <v>461.7</v>
      </c>
      <c r="AG24" s="58" t="n">
        <f aca="false">$D24*R24</f>
        <v>649.8</v>
      </c>
      <c r="AH24" s="58" t="n">
        <f aca="false">$D24*S24</f>
        <v>615.6</v>
      </c>
    </row>
    <row r="25" customFormat="false" ht="15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customFormat="false" ht="15.75" hidden="false" customHeight="true" outlineLevel="0" collapsed="false">
      <c r="A26" s="183" t="s">
        <v>234</v>
      </c>
      <c r="B26" s="183"/>
      <c r="C26" s="183"/>
      <c r="D26" s="183"/>
      <c r="E26" s="35" t="s">
        <v>29</v>
      </c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6" t="s">
        <v>30</v>
      </c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7" customFormat="false" ht="15" hidden="false" customHeight="true" outlineLevel="0" collapsed="false">
      <c r="A27" s="184"/>
      <c r="B27" s="184"/>
      <c r="C27" s="184"/>
      <c r="D27" s="184"/>
      <c r="E27" s="189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43" t="n">
        <f aca="false">MROUND(SUM(T29:T39),1)</f>
        <v>1841</v>
      </c>
      <c r="U27" s="43" t="n">
        <f aca="false">MROUND(SUM(U29:U39),1)</f>
        <v>2061</v>
      </c>
      <c r="V27" s="43" t="n">
        <f aca="false">MROUND(SUM(V29:V39),1)</f>
        <v>1995</v>
      </c>
      <c r="W27" s="43" t="n">
        <f aca="false">MROUND(SUM(W29:W39),1)</f>
        <v>2044</v>
      </c>
      <c r="X27" s="43" t="n">
        <f aca="false">MROUND(SUM(X29:X39),1)</f>
        <v>1858</v>
      </c>
      <c r="Y27" s="43" t="n">
        <f aca="false">MROUND(SUM(Y29:Y39),1)</f>
        <v>2129</v>
      </c>
      <c r="Z27" s="43" t="n">
        <f aca="false">MROUND(SUM(Z29:Z39),1)</f>
        <v>1995</v>
      </c>
      <c r="AA27" s="43" t="n">
        <f aca="false">MROUND(SUM(AA29:AA39),1)</f>
        <v>2061</v>
      </c>
      <c r="AB27" s="43" t="n">
        <f aca="false">MROUND(SUM(AB29:AB39),1)</f>
        <v>1841</v>
      </c>
      <c r="AC27" s="43" t="n">
        <f aca="false">MROUND(SUM(AC29:AC39),1)</f>
        <v>2044</v>
      </c>
      <c r="AD27" s="43" t="n">
        <f aca="false">MROUND(SUM(AD29:AD39),1)</f>
        <v>2012</v>
      </c>
      <c r="AE27" s="43" t="n">
        <f aca="false">MROUND(SUM(AE29:AE39),1)</f>
        <v>3018</v>
      </c>
      <c r="AF27" s="43" t="n">
        <f aca="false">MROUND(SUM(AF29:AF39),1)</f>
        <v>1841</v>
      </c>
      <c r="AG27" s="43" t="n">
        <f aca="false">MROUND(SUM(AG29:AG39),1)</f>
        <v>2061</v>
      </c>
      <c r="AH27" s="43" t="n">
        <f aca="false">MROUND(SUM(AH29:AH39),1)</f>
        <v>1995</v>
      </c>
    </row>
    <row r="28" customFormat="false" ht="15" hidden="false" customHeight="false" outlineLevel="0" collapsed="false">
      <c r="A28" s="45" t="s">
        <v>32</v>
      </c>
      <c r="B28" s="45" t="s">
        <v>33</v>
      </c>
      <c r="C28" s="46" t="s">
        <v>34</v>
      </c>
      <c r="D28" s="47" t="s">
        <v>35</v>
      </c>
      <c r="E28" s="48" t="s">
        <v>36</v>
      </c>
      <c r="F28" s="48" t="s">
        <v>37</v>
      </c>
      <c r="G28" s="48" t="s">
        <v>38</v>
      </c>
      <c r="H28" s="48" t="s">
        <v>39</v>
      </c>
      <c r="I28" s="48" t="s">
        <v>40</v>
      </c>
      <c r="J28" s="48" t="s">
        <v>41</v>
      </c>
      <c r="K28" s="48" t="s">
        <v>42</v>
      </c>
      <c r="L28" s="48" t="s">
        <v>43</v>
      </c>
      <c r="M28" s="48" t="s">
        <v>44</v>
      </c>
      <c r="N28" s="48" t="s">
        <v>45</v>
      </c>
      <c r="O28" s="48" t="s">
        <v>142</v>
      </c>
      <c r="P28" s="48" t="s">
        <v>143</v>
      </c>
      <c r="Q28" s="48" t="s">
        <v>144</v>
      </c>
      <c r="R28" s="48" t="s">
        <v>145</v>
      </c>
      <c r="S28" s="48" t="s">
        <v>146</v>
      </c>
      <c r="T28" s="48" t="n">
        <v>20000</v>
      </c>
      <c r="U28" s="48" t="n">
        <v>40000</v>
      </c>
      <c r="V28" s="48" t="n">
        <v>60000</v>
      </c>
      <c r="W28" s="48" t="n">
        <v>80000</v>
      </c>
      <c r="X28" s="48" t="n">
        <v>100000</v>
      </c>
      <c r="Y28" s="48" t="n">
        <v>120000</v>
      </c>
      <c r="Z28" s="48" t="n">
        <v>140000</v>
      </c>
      <c r="AA28" s="48" t="n">
        <v>160000</v>
      </c>
      <c r="AB28" s="48" t="n">
        <v>180000</v>
      </c>
      <c r="AC28" s="48" t="n">
        <v>200000</v>
      </c>
      <c r="AD28" s="48" t="n">
        <f aca="false">AC28+20000</f>
        <v>220000</v>
      </c>
      <c r="AE28" s="48" t="n">
        <f aca="false">AD28+20000</f>
        <v>240000</v>
      </c>
      <c r="AF28" s="48" t="n">
        <f aca="false">AE28+20000</f>
        <v>260000</v>
      </c>
      <c r="AG28" s="48" t="n">
        <f aca="false">AF28+20000</f>
        <v>280000</v>
      </c>
      <c r="AH28" s="48" t="n">
        <f aca="false">AG28+20000</f>
        <v>300000</v>
      </c>
    </row>
    <row r="29" customFormat="false" ht="15" hidden="false" customHeight="false" outlineLevel="0" collapsed="false">
      <c r="A29" s="52" t="n">
        <v>1</v>
      </c>
      <c r="B29" s="72" t="s">
        <v>235</v>
      </c>
      <c r="C29" s="54" t="s">
        <v>226</v>
      </c>
      <c r="D29" s="55" t="n">
        <f aca="false">VLOOKUP(C29,'[1]PREÇO ATUAL'!$A$1:$D$1048576,4,0)</f>
        <v>110.2</v>
      </c>
      <c r="E29" s="56" t="n">
        <v>1</v>
      </c>
      <c r="F29" s="56" t="n">
        <v>1</v>
      </c>
      <c r="G29" s="56" t="n">
        <v>1</v>
      </c>
      <c r="H29" s="56" t="n">
        <v>1</v>
      </c>
      <c r="I29" s="57" t="n">
        <v>1</v>
      </c>
      <c r="J29" s="57" t="n">
        <v>1</v>
      </c>
      <c r="K29" s="57" t="n">
        <v>1</v>
      </c>
      <c r="L29" s="57" t="n">
        <v>1</v>
      </c>
      <c r="M29" s="57" t="n">
        <v>1</v>
      </c>
      <c r="N29" s="56" t="n">
        <v>1</v>
      </c>
      <c r="O29" s="56" t="n">
        <v>1</v>
      </c>
      <c r="P29" s="56" t="n">
        <v>1</v>
      </c>
      <c r="Q29" s="56" t="n">
        <v>1</v>
      </c>
      <c r="R29" s="56" t="n">
        <v>1</v>
      </c>
      <c r="S29" s="56" t="n">
        <v>1</v>
      </c>
      <c r="T29" s="58" t="n">
        <f aca="false">$D29*E29</f>
        <v>110.2</v>
      </c>
      <c r="U29" s="58" t="n">
        <f aca="false">$D29*F29</f>
        <v>110.2</v>
      </c>
      <c r="V29" s="58" t="n">
        <f aca="false">$D29*G29</f>
        <v>110.2</v>
      </c>
      <c r="W29" s="58" t="n">
        <f aca="false">$D29*H29</f>
        <v>110.2</v>
      </c>
      <c r="X29" s="58" t="n">
        <f aca="false">$D29*I29</f>
        <v>110.2</v>
      </c>
      <c r="Y29" s="58" t="n">
        <f aca="false">$D29*J29</f>
        <v>110.2</v>
      </c>
      <c r="Z29" s="58" t="n">
        <f aca="false">$D29*K29</f>
        <v>110.2</v>
      </c>
      <c r="AA29" s="58" t="n">
        <f aca="false">$D29*L29</f>
        <v>110.2</v>
      </c>
      <c r="AB29" s="58" t="n">
        <f aca="false">$D29*M29</f>
        <v>110.2</v>
      </c>
      <c r="AC29" s="58" t="n">
        <f aca="false">$D29*N29</f>
        <v>110.2</v>
      </c>
      <c r="AD29" s="58" t="n">
        <f aca="false">$D29*O29</f>
        <v>110.2</v>
      </c>
      <c r="AE29" s="58" t="n">
        <f aca="false">$D29*P29</f>
        <v>110.2</v>
      </c>
      <c r="AF29" s="58" t="n">
        <f aca="false">$D29*Q29</f>
        <v>110.2</v>
      </c>
      <c r="AG29" s="58" t="n">
        <f aca="false">$D29*R29</f>
        <v>110.2</v>
      </c>
      <c r="AH29" s="58" t="n">
        <f aca="false">$D29*S29</f>
        <v>110.2</v>
      </c>
    </row>
    <row r="30" customFormat="false" ht="15" hidden="false" customHeight="false" outlineLevel="0" collapsed="false">
      <c r="A30" s="60" t="n">
        <v>2</v>
      </c>
      <c r="B30" s="73" t="s">
        <v>236</v>
      </c>
      <c r="C30" s="62" t="s">
        <v>218</v>
      </c>
      <c r="D30" s="63" t="n">
        <f aca="false">VLOOKUP(C30,'[1]PREÇO ATUAL'!$A$1:$D$1048576,4,0)</f>
        <v>379</v>
      </c>
      <c r="E30" s="64" t="n">
        <v>1</v>
      </c>
      <c r="F30" s="64" t="n">
        <v>1</v>
      </c>
      <c r="G30" s="64" t="n">
        <v>1</v>
      </c>
      <c r="H30" s="64" t="n">
        <v>1</v>
      </c>
      <c r="I30" s="65" t="n">
        <v>1</v>
      </c>
      <c r="J30" s="65" t="n">
        <v>1</v>
      </c>
      <c r="K30" s="65" t="n">
        <v>1</v>
      </c>
      <c r="L30" s="65" t="n">
        <v>1</v>
      </c>
      <c r="M30" s="65" t="n">
        <v>1</v>
      </c>
      <c r="N30" s="64" t="n">
        <v>1</v>
      </c>
      <c r="O30" s="64" t="n">
        <v>1</v>
      </c>
      <c r="P30" s="64" t="n">
        <v>1</v>
      </c>
      <c r="Q30" s="64" t="n">
        <v>1</v>
      </c>
      <c r="R30" s="64" t="n">
        <v>1</v>
      </c>
      <c r="S30" s="64" t="n">
        <v>1</v>
      </c>
      <c r="T30" s="66" t="n">
        <f aca="false">$D30*E30</f>
        <v>379</v>
      </c>
      <c r="U30" s="66" t="n">
        <f aca="false">$D30*F30</f>
        <v>379</v>
      </c>
      <c r="V30" s="66" t="n">
        <f aca="false">$D30*G30</f>
        <v>379</v>
      </c>
      <c r="W30" s="66" t="n">
        <f aca="false">$D30*H30</f>
        <v>379</v>
      </c>
      <c r="X30" s="66" t="n">
        <f aca="false">$D30*I30</f>
        <v>379</v>
      </c>
      <c r="Y30" s="66" t="n">
        <f aca="false">$D30*J30</f>
        <v>379</v>
      </c>
      <c r="Z30" s="66" t="n">
        <f aca="false">$D30*K30</f>
        <v>379</v>
      </c>
      <c r="AA30" s="66" t="n">
        <f aca="false">$D30*L30</f>
        <v>379</v>
      </c>
      <c r="AB30" s="66" t="n">
        <f aca="false">$D30*M30</f>
        <v>379</v>
      </c>
      <c r="AC30" s="66" t="n">
        <f aca="false">$D30*N30</f>
        <v>379</v>
      </c>
      <c r="AD30" s="66" t="n">
        <f aca="false">$D30*O30</f>
        <v>379</v>
      </c>
      <c r="AE30" s="66" t="n">
        <f aca="false">$D30*P30</f>
        <v>379</v>
      </c>
      <c r="AF30" s="66" t="n">
        <f aca="false">$D30*Q30</f>
        <v>379</v>
      </c>
      <c r="AG30" s="66" t="n">
        <f aca="false">$D30*R30</f>
        <v>379</v>
      </c>
      <c r="AH30" s="66" t="n">
        <f aca="false">$D30*S30</f>
        <v>379</v>
      </c>
    </row>
    <row r="31" customFormat="false" ht="15" hidden="false" customHeight="false" outlineLevel="0" collapsed="false">
      <c r="A31" s="52" t="n">
        <v>3</v>
      </c>
      <c r="B31" s="72" t="s">
        <v>68</v>
      </c>
      <c r="C31" s="54" t="s">
        <v>227</v>
      </c>
      <c r="D31" s="55" t="n">
        <f aca="false">VLOOKUP(C31,'[1]PREÇO ATUAL'!$A$1:$D$1048576,4,0)</f>
        <v>181.5</v>
      </c>
      <c r="E31" s="56" t="n">
        <v>1</v>
      </c>
      <c r="F31" s="56" t="n">
        <v>1</v>
      </c>
      <c r="G31" s="56" t="n">
        <v>1</v>
      </c>
      <c r="H31" s="56" t="n">
        <v>1</v>
      </c>
      <c r="I31" s="57" t="n">
        <v>1</v>
      </c>
      <c r="J31" s="57" t="n">
        <v>1</v>
      </c>
      <c r="K31" s="57" t="n">
        <v>1</v>
      </c>
      <c r="L31" s="57" t="n">
        <v>1</v>
      </c>
      <c r="M31" s="57" t="n">
        <v>1</v>
      </c>
      <c r="N31" s="56" t="n">
        <v>1</v>
      </c>
      <c r="O31" s="56" t="n">
        <v>1</v>
      </c>
      <c r="P31" s="56" t="n">
        <v>1</v>
      </c>
      <c r="Q31" s="56" t="n">
        <v>1</v>
      </c>
      <c r="R31" s="56" t="n">
        <v>1</v>
      </c>
      <c r="S31" s="56" t="n">
        <v>1</v>
      </c>
      <c r="T31" s="58" t="n">
        <f aca="false">$D31*E31</f>
        <v>181.5</v>
      </c>
      <c r="U31" s="58" t="n">
        <f aca="false">$D31*F31</f>
        <v>181.5</v>
      </c>
      <c r="V31" s="58" t="n">
        <f aca="false">$D31*G31</f>
        <v>181.5</v>
      </c>
      <c r="W31" s="58" t="n">
        <f aca="false">$D31*H31</f>
        <v>181.5</v>
      </c>
      <c r="X31" s="58" t="n">
        <f aca="false">$D31*I31</f>
        <v>181.5</v>
      </c>
      <c r="Y31" s="58" t="n">
        <f aca="false">$D31*J31</f>
        <v>181.5</v>
      </c>
      <c r="Z31" s="58" t="n">
        <f aca="false">$D31*K31</f>
        <v>181.5</v>
      </c>
      <c r="AA31" s="58" t="n">
        <f aca="false">$D31*L31</f>
        <v>181.5</v>
      </c>
      <c r="AB31" s="58" t="n">
        <f aca="false">$D31*M31</f>
        <v>181.5</v>
      </c>
      <c r="AC31" s="58" t="n">
        <f aca="false">$D31*N31</f>
        <v>181.5</v>
      </c>
      <c r="AD31" s="58" t="n">
        <f aca="false">$D31*O31</f>
        <v>181.5</v>
      </c>
      <c r="AE31" s="58" t="n">
        <f aca="false">$D31*P31</f>
        <v>181.5</v>
      </c>
      <c r="AF31" s="58" t="n">
        <f aca="false">$D31*Q31</f>
        <v>181.5</v>
      </c>
      <c r="AG31" s="58" t="n">
        <f aca="false">$D31*R31</f>
        <v>181.5</v>
      </c>
      <c r="AH31" s="58" t="n">
        <f aca="false">$D31*S31</f>
        <v>181.5</v>
      </c>
    </row>
    <row r="32" customFormat="false" ht="25.5" hidden="false" customHeight="false" outlineLevel="0" collapsed="false">
      <c r="A32" s="60" t="n">
        <v>4</v>
      </c>
      <c r="B32" s="73" t="s">
        <v>209</v>
      </c>
      <c r="C32" s="62" t="s">
        <v>180</v>
      </c>
      <c r="D32" s="63" t="n">
        <f aca="false">VLOOKUP(C32,'[1]PREÇO ATUAL'!$A$1:$D$1048576,4,0)</f>
        <v>45.09</v>
      </c>
      <c r="E32" s="70"/>
      <c r="F32" s="70" t="n">
        <v>0.7</v>
      </c>
      <c r="G32" s="70"/>
      <c r="H32" s="70" t="n">
        <v>0.7</v>
      </c>
      <c r="I32" s="63"/>
      <c r="J32" s="70" t="n">
        <v>0.7</v>
      </c>
      <c r="K32" s="63"/>
      <c r="L32" s="70" t="n">
        <v>0.7</v>
      </c>
      <c r="M32" s="63"/>
      <c r="N32" s="70" t="n">
        <v>0.7</v>
      </c>
      <c r="O32" s="81"/>
      <c r="P32" s="70" t="n">
        <v>0.7</v>
      </c>
      <c r="Q32" s="63"/>
      <c r="R32" s="70" t="n">
        <v>0.7</v>
      </c>
      <c r="S32" s="63"/>
      <c r="T32" s="66" t="n">
        <f aca="false">$D32*E32</f>
        <v>0</v>
      </c>
      <c r="U32" s="66" t="n">
        <f aca="false">$D32*F32</f>
        <v>31.563</v>
      </c>
      <c r="V32" s="66" t="n">
        <f aca="false">$D32*G32</f>
        <v>0</v>
      </c>
      <c r="W32" s="66" t="n">
        <f aca="false">$D32*H32</f>
        <v>31.563</v>
      </c>
      <c r="X32" s="66" t="n">
        <f aca="false">$D32*I32</f>
        <v>0</v>
      </c>
      <c r="Y32" s="66" t="n">
        <f aca="false">$D32*J32</f>
        <v>31.563</v>
      </c>
      <c r="Z32" s="66" t="n">
        <f aca="false">$D32*K32</f>
        <v>0</v>
      </c>
      <c r="AA32" s="66" t="n">
        <f aca="false">$D32*L32</f>
        <v>31.563</v>
      </c>
      <c r="AB32" s="66" t="n">
        <f aca="false">$D32*M32</f>
        <v>0</v>
      </c>
      <c r="AC32" s="66" t="n">
        <f aca="false">$D32*N32</f>
        <v>31.563</v>
      </c>
      <c r="AD32" s="66" t="n">
        <f aca="false">$D32*O32</f>
        <v>0</v>
      </c>
      <c r="AE32" s="66" t="n">
        <f aca="false">$D32*P32</f>
        <v>31.563</v>
      </c>
      <c r="AF32" s="66" t="n">
        <f aca="false">$D32*Q32</f>
        <v>0</v>
      </c>
      <c r="AG32" s="66" t="n">
        <f aca="false">$D32*R32</f>
        <v>31.563</v>
      </c>
      <c r="AH32" s="66" t="n">
        <f aca="false">$D32*S32</f>
        <v>0</v>
      </c>
    </row>
    <row r="33" customFormat="false" ht="25.5" hidden="false" customHeight="false" outlineLevel="0" collapsed="false">
      <c r="A33" s="52" t="n">
        <v>5</v>
      </c>
      <c r="B33" s="72" t="s">
        <v>237</v>
      </c>
      <c r="C33" s="54" t="s">
        <v>238</v>
      </c>
      <c r="D33" s="55" t="n">
        <f aca="false">VLOOKUP(C33,'[1]PREÇO ATUAL'!$A$1:$D$1048576,4,0)</f>
        <v>79.963</v>
      </c>
      <c r="E33" s="56" t="n">
        <v>1</v>
      </c>
      <c r="F33" s="56" t="n">
        <v>1</v>
      </c>
      <c r="G33" s="56" t="n">
        <v>1</v>
      </c>
      <c r="H33" s="56" t="n">
        <v>1</v>
      </c>
      <c r="I33" s="57" t="n">
        <v>1</v>
      </c>
      <c r="J33" s="57" t="n">
        <v>1</v>
      </c>
      <c r="K33" s="57" t="n">
        <v>1</v>
      </c>
      <c r="L33" s="57" t="n">
        <v>1</v>
      </c>
      <c r="M33" s="57" t="n">
        <v>1</v>
      </c>
      <c r="N33" s="56" t="n">
        <v>1</v>
      </c>
      <c r="O33" s="56" t="n">
        <v>1</v>
      </c>
      <c r="P33" s="56" t="n">
        <v>1</v>
      </c>
      <c r="Q33" s="56" t="n">
        <v>1</v>
      </c>
      <c r="R33" s="56" t="n">
        <v>1</v>
      </c>
      <c r="S33" s="56" t="n">
        <v>1</v>
      </c>
      <c r="T33" s="58" t="n">
        <f aca="false">$D33*E33</f>
        <v>79.963</v>
      </c>
      <c r="U33" s="58" t="n">
        <f aca="false">$D33*F33</f>
        <v>79.963</v>
      </c>
      <c r="V33" s="58" t="n">
        <f aca="false">$D33*G33</f>
        <v>79.963</v>
      </c>
      <c r="W33" s="58" t="n">
        <f aca="false">$D33*H33</f>
        <v>79.963</v>
      </c>
      <c r="X33" s="58" t="n">
        <f aca="false">$D33*I33</f>
        <v>79.963</v>
      </c>
      <c r="Y33" s="58" t="n">
        <f aca="false">$D33*J33</f>
        <v>79.963</v>
      </c>
      <c r="Z33" s="58" t="n">
        <f aca="false">$D33*K33</f>
        <v>79.963</v>
      </c>
      <c r="AA33" s="58" t="n">
        <f aca="false">$D33*L33</f>
        <v>79.963</v>
      </c>
      <c r="AB33" s="58" t="n">
        <f aca="false">$D33*M33</f>
        <v>79.963</v>
      </c>
      <c r="AC33" s="58" t="n">
        <f aca="false">$D33*N33</f>
        <v>79.963</v>
      </c>
      <c r="AD33" s="58" t="n">
        <f aca="false">$D33*O33</f>
        <v>79.963</v>
      </c>
      <c r="AE33" s="58" t="n">
        <f aca="false">$D33*P33</f>
        <v>79.963</v>
      </c>
      <c r="AF33" s="58" t="n">
        <f aca="false">$D33*Q33</f>
        <v>79.963</v>
      </c>
      <c r="AG33" s="58" t="n">
        <f aca="false">$D33*R33</f>
        <v>79.963</v>
      </c>
      <c r="AH33" s="58" t="n">
        <f aca="false">$D33*S33</f>
        <v>79.963</v>
      </c>
    </row>
    <row r="34" customFormat="false" ht="25.5" hidden="false" customHeight="false" outlineLevel="0" collapsed="false">
      <c r="A34" s="60" t="n">
        <v>6</v>
      </c>
      <c r="B34" s="73" t="s">
        <v>239</v>
      </c>
      <c r="C34" s="62" t="s">
        <v>240</v>
      </c>
      <c r="D34" s="63" t="n">
        <f aca="false">VLOOKUP(C34,'[1]PREÇO ATUAL'!$A$1:$D$1048576,4,0)</f>
        <v>79.469</v>
      </c>
      <c r="E34" s="64" t="n">
        <v>1</v>
      </c>
      <c r="F34" s="64" t="n">
        <v>1</v>
      </c>
      <c r="G34" s="64" t="n">
        <v>1</v>
      </c>
      <c r="H34" s="64" t="n">
        <v>1</v>
      </c>
      <c r="I34" s="65" t="n">
        <v>1</v>
      </c>
      <c r="J34" s="65" t="n">
        <v>1</v>
      </c>
      <c r="K34" s="65" t="n">
        <v>1</v>
      </c>
      <c r="L34" s="65" t="n">
        <v>1</v>
      </c>
      <c r="M34" s="65" t="n">
        <v>1</v>
      </c>
      <c r="N34" s="64" t="n">
        <v>1</v>
      </c>
      <c r="O34" s="64" t="n">
        <v>1</v>
      </c>
      <c r="P34" s="64" t="n">
        <v>1</v>
      </c>
      <c r="Q34" s="64" t="n">
        <v>1</v>
      </c>
      <c r="R34" s="64" t="n">
        <v>1</v>
      </c>
      <c r="S34" s="64" t="n">
        <v>1</v>
      </c>
      <c r="T34" s="66" t="n">
        <f aca="false">$D34*E34</f>
        <v>79.469</v>
      </c>
      <c r="U34" s="66" t="n">
        <f aca="false">$D34*F34</f>
        <v>79.469</v>
      </c>
      <c r="V34" s="66" t="n">
        <f aca="false">$D34*G34</f>
        <v>79.469</v>
      </c>
      <c r="W34" s="66" t="n">
        <f aca="false">$D34*H34</f>
        <v>79.469</v>
      </c>
      <c r="X34" s="66" t="n">
        <f aca="false">$D34*I34</f>
        <v>79.469</v>
      </c>
      <c r="Y34" s="66" t="n">
        <f aca="false">$D34*J34</f>
        <v>79.469</v>
      </c>
      <c r="Z34" s="66" t="n">
        <f aca="false">$D34*K34</f>
        <v>79.469</v>
      </c>
      <c r="AA34" s="66" t="n">
        <f aca="false">$D34*L34</f>
        <v>79.469</v>
      </c>
      <c r="AB34" s="66" t="n">
        <f aca="false">$D34*M34</f>
        <v>79.469</v>
      </c>
      <c r="AC34" s="66" t="n">
        <f aca="false">$D34*N34</f>
        <v>79.469</v>
      </c>
      <c r="AD34" s="66" t="n">
        <f aca="false">$D34*O34</f>
        <v>79.469</v>
      </c>
      <c r="AE34" s="66" t="n">
        <f aca="false">$D34*P34</f>
        <v>79.469</v>
      </c>
      <c r="AF34" s="66" t="n">
        <f aca="false">$D34*Q34</f>
        <v>79.469</v>
      </c>
      <c r="AG34" s="66" t="n">
        <f aca="false">$D34*R34</f>
        <v>79.469</v>
      </c>
      <c r="AH34" s="66" t="n">
        <f aca="false">$D34*S34</f>
        <v>79.469</v>
      </c>
    </row>
    <row r="35" customFormat="false" ht="25.5" hidden="false" customHeight="false" outlineLevel="0" collapsed="false">
      <c r="A35" s="52" t="n">
        <v>7</v>
      </c>
      <c r="B35" s="72" t="s">
        <v>72</v>
      </c>
      <c r="C35" s="54" t="s">
        <v>230</v>
      </c>
      <c r="D35" s="55" t="n">
        <f aca="false">VLOOKUP(C35,'[1]PREÇO ATUAL'!$A$1:$D$1048576,4,0)</f>
        <v>289.35</v>
      </c>
      <c r="E35" s="56"/>
      <c r="F35" s="56"/>
      <c r="G35" s="56"/>
      <c r="H35" s="56"/>
      <c r="I35" s="57"/>
      <c r="J35" s="57"/>
      <c r="K35" s="57"/>
      <c r="L35" s="57"/>
      <c r="M35" s="57"/>
      <c r="N35" s="56"/>
      <c r="O35" s="56"/>
      <c r="P35" s="56"/>
      <c r="Q35" s="56"/>
      <c r="R35" s="56"/>
      <c r="S35" s="56"/>
      <c r="T35" s="58" t="n">
        <f aca="false">$D35*E35</f>
        <v>0</v>
      </c>
      <c r="U35" s="58" t="n">
        <f aca="false">$D35*F35</f>
        <v>0</v>
      </c>
      <c r="V35" s="58" t="n">
        <f aca="false">$D35*G35</f>
        <v>0</v>
      </c>
      <c r="W35" s="58" t="n">
        <f aca="false">$D35*H35</f>
        <v>0</v>
      </c>
      <c r="X35" s="58" t="n">
        <f aca="false">$D35*I35</f>
        <v>0</v>
      </c>
      <c r="Y35" s="58" t="n">
        <f aca="false">$D35*J35</f>
        <v>0</v>
      </c>
      <c r="Z35" s="58" t="n">
        <f aca="false">$D35*K35</f>
        <v>0</v>
      </c>
      <c r="AA35" s="58" t="n">
        <f aca="false">$D35*L35</f>
        <v>0</v>
      </c>
      <c r="AB35" s="58" t="n">
        <f aca="false">$D35*M35</f>
        <v>0</v>
      </c>
      <c r="AC35" s="58" t="n">
        <f aca="false">$D35*N35</f>
        <v>0</v>
      </c>
      <c r="AD35" s="58" t="n">
        <f aca="false">$D35*O35</f>
        <v>0</v>
      </c>
      <c r="AE35" s="58" t="n">
        <f aca="false">$D35*P35</f>
        <v>0</v>
      </c>
      <c r="AF35" s="58" t="n">
        <f aca="false">$D35*Q35</f>
        <v>0</v>
      </c>
      <c r="AG35" s="58" t="n">
        <f aca="false">$D35*R35</f>
        <v>0</v>
      </c>
      <c r="AH35" s="58" t="n">
        <f aca="false">$D35*S35</f>
        <v>0</v>
      </c>
    </row>
    <row r="36" customFormat="false" ht="25.5" hidden="false" customHeight="false" outlineLevel="0" collapsed="false">
      <c r="A36" s="60" t="n">
        <v>8</v>
      </c>
      <c r="B36" s="73" t="s">
        <v>241</v>
      </c>
      <c r="C36" s="62" t="s">
        <v>232</v>
      </c>
      <c r="D36" s="63" t="n">
        <f aca="false">VLOOKUP(C36,'[1]PREÇO ATUAL'!$A$1:$D$1048576,4,0)</f>
        <v>567.55</v>
      </c>
      <c r="E36" s="117"/>
      <c r="F36" s="117"/>
      <c r="G36" s="117"/>
      <c r="H36" s="117"/>
      <c r="I36" s="68"/>
      <c r="J36" s="68"/>
      <c r="K36" s="68"/>
      <c r="L36" s="68"/>
      <c r="M36" s="68"/>
      <c r="N36" s="117"/>
      <c r="O36" s="117"/>
      <c r="P36" s="117"/>
      <c r="Q36" s="117"/>
      <c r="R36" s="117"/>
      <c r="S36" s="117"/>
      <c r="T36" s="66" t="n">
        <f aca="false">$D36*E36</f>
        <v>0</v>
      </c>
      <c r="U36" s="66" t="n">
        <f aca="false">$D36*F36</f>
        <v>0</v>
      </c>
      <c r="V36" s="66" t="n">
        <f aca="false">$D36*G36</f>
        <v>0</v>
      </c>
      <c r="W36" s="66" t="n">
        <f aca="false">$D36*H36</f>
        <v>0</v>
      </c>
      <c r="X36" s="66" t="n">
        <f aca="false">$D36*I36</f>
        <v>0</v>
      </c>
      <c r="Y36" s="66" t="n">
        <f aca="false">$D36*J36</f>
        <v>0</v>
      </c>
      <c r="Z36" s="66" t="n">
        <f aca="false">$D36*K36</f>
        <v>0</v>
      </c>
      <c r="AA36" s="66" t="n">
        <f aca="false">$D36*L36</f>
        <v>0</v>
      </c>
      <c r="AB36" s="66" t="n">
        <f aca="false">$D36*M36</f>
        <v>0</v>
      </c>
      <c r="AC36" s="66" t="n">
        <f aca="false">$D36*N36</f>
        <v>0</v>
      </c>
      <c r="AD36" s="66" t="n">
        <f aca="false">$D36*O36</f>
        <v>0</v>
      </c>
      <c r="AE36" s="66" t="n">
        <f aca="false">$D36*P36</f>
        <v>0</v>
      </c>
      <c r="AF36" s="66" t="n">
        <f aca="false">$D36*Q36</f>
        <v>0</v>
      </c>
      <c r="AG36" s="66" t="n">
        <f aca="false">$D36*R36</f>
        <v>0</v>
      </c>
      <c r="AH36" s="66" t="n">
        <f aca="false">$D36*S36</f>
        <v>0</v>
      </c>
    </row>
    <row r="37" customFormat="false" ht="25.5" hidden="false" customHeight="false" outlineLevel="0" collapsed="false">
      <c r="A37" s="52" t="n">
        <v>9</v>
      </c>
      <c r="B37" s="72" t="s">
        <v>211</v>
      </c>
      <c r="C37" s="54" t="s">
        <v>212</v>
      </c>
      <c r="D37" s="55" t="n">
        <f aca="false">VLOOKUP(C37,'[1]PREÇO ATUAL'!$A$1:$D$1048576,4,0)</f>
        <v>0</v>
      </c>
      <c r="E37" s="84"/>
      <c r="F37" s="84"/>
      <c r="G37" s="84"/>
      <c r="H37" s="84"/>
      <c r="I37" s="85"/>
      <c r="J37" s="85"/>
      <c r="K37" s="85"/>
      <c r="L37" s="85"/>
      <c r="M37" s="85"/>
      <c r="N37" s="84"/>
      <c r="O37" s="84"/>
      <c r="P37" s="84"/>
      <c r="Q37" s="84"/>
      <c r="R37" s="84"/>
      <c r="S37" s="84"/>
      <c r="T37" s="58" t="n">
        <f aca="false">$D37*E37</f>
        <v>0</v>
      </c>
      <c r="U37" s="58" t="n">
        <f aca="false">$D37*F37</f>
        <v>0</v>
      </c>
      <c r="V37" s="58" t="n">
        <f aca="false">$D37*G37</f>
        <v>0</v>
      </c>
      <c r="W37" s="58" t="n">
        <f aca="false">$D37*H37</f>
        <v>0</v>
      </c>
      <c r="X37" s="58" t="n">
        <f aca="false">$D37*I37</f>
        <v>0</v>
      </c>
      <c r="Y37" s="58" t="n">
        <f aca="false">$D37*J37</f>
        <v>0</v>
      </c>
      <c r="Z37" s="58" t="n">
        <f aca="false">$D37*K37</f>
        <v>0</v>
      </c>
      <c r="AA37" s="58" t="n">
        <f aca="false">$D37*L37</f>
        <v>0</v>
      </c>
      <c r="AB37" s="58" t="n">
        <f aca="false">$D37*M37</f>
        <v>0</v>
      </c>
      <c r="AC37" s="58" t="n">
        <f aca="false">$D37*N37</f>
        <v>0</v>
      </c>
      <c r="AD37" s="58" t="n">
        <f aca="false">$D37*O37</f>
        <v>0</v>
      </c>
      <c r="AE37" s="58" t="n">
        <f aca="false">$D37*P37</f>
        <v>0</v>
      </c>
      <c r="AF37" s="58" t="n">
        <f aca="false">$D37*Q37</f>
        <v>0</v>
      </c>
      <c r="AG37" s="58" t="n">
        <f aca="false">$D37*R37</f>
        <v>0</v>
      </c>
      <c r="AH37" s="58" t="n">
        <f aca="false">$D37*S37</f>
        <v>0</v>
      </c>
    </row>
    <row r="38" customFormat="false" ht="15" hidden="false" customHeight="false" outlineLevel="0" collapsed="false">
      <c r="A38" s="60" t="n">
        <v>8</v>
      </c>
      <c r="B38" s="73" t="s">
        <v>242</v>
      </c>
      <c r="C38" s="62" t="s">
        <v>223</v>
      </c>
      <c r="D38" s="63" t="n">
        <f aca="false">VLOOKUP(C38,'[1]PREÇO ATUAL'!$A$1:$D$1048576,4,0)</f>
        <v>91.54</v>
      </c>
      <c r="E38" s="117" t="n">
        <v>6</v>
      </c>
      <c r="F38" s="117" t="n">
        <v>6</v>
      </c>
      <c r="G38" s="117" t="n">
        <v>6</v>
      </c>
      <c r="H38" s="117" t="n">
        <v>6</v>
      </c>
      <c r="I38" s="117" t="n">
        <v>6</v>
      </c>
      <c r="J38" s="117" t="n">
        <v>6</v>
      </c>
      <c r="K38" s="117" t="n">
        <v>6</v>
      </c>
      <c r="L38" s="117" t="n">
        <v>6</v>
      </c>
      <c r="M38" s="117" t="n">
        <v>6</v>
      </c>
      <c r="N38" s="117" t="n">
        <v>6</v>
      </c>
      <c r="O38" s="117" t="n">
        <v>6</v>
      </c>
      <c r="P38" s="117" t="n">
        <v>6</v>
      </c>
      <c r="Q38" s="117" t="n">
        <v>6</v>
      </c>
      <c r="R38" s="117" t="n">
        <v>6</v>
      </c>
      <c r="S38" s="117" t="n">
        <v>6</v>
      </c>
      <c r="T38" s="66" t="n">
        <f aca="false">$D38*E38</f>
        <v>549.24</v>
      </c>
      <c r="U38" s="66" t="n">
        <f aca="false">$D38*F38</f>
        <v>549.24</v>
      </c>
      <c r="V38" s="66" t="n">
        <f aca="false">$D38*G38</f>
        <v>549.24</v>
      </c>
      <c r="W38" s="66" t="n">
        <f aca="false">$D38*H38</f>
        <v>549.24</v>
      </c>
      <c r="X38" s="66" t="n">
        <f aca="false">$D38*I38</f>
        <v>549.24</v>
      </c>
      <c r="Y38" s="66" t="n">
        <f aca="false">$D38*J38</f>
        <v>549.24</v>
      </c>
      <c r="Z38" s="66" t="n">
        <f aca="false">$D38*K38</f>
        <v>549.24</v>
      </c>
      <c r="AA38" s="66" t="n">
        <f aca="false">$D38*L38</f>
        <v>549.24</v>
      </c>
      <c r="AB38" s="66" t="n">
        <f aca="false">$D38*M38</f>
        <v>549.24</v>
      </c>
      <c r="AC38" s="66" t="n">
        <f aca="false">$D38*N38</f>
        <v>549.24</v>
      </c>
      <c r="AD38" s="66" t="n">
        <f aca="false">$D38*O38</f>
        <v>549.24</v>
      </c>
      <c r="AE38" s="66" t="n">
        <f aca="false">$D38*P38</f>
        <v>549.24</v>
      </c>
      <c r="AF38" s="66" t="n">
        <f aca="false">$D38*Q38</f>
        <v>549.24</v>
      </c>
      <c r="AG38" s="66" t="n">
        <f aca="false">$D38*R38</f>
        <v>549.24</v>
      </c>
      <c r="AH38" s="66" t="n">
        <f aca="false">$D38*S38</f>
        <v>549.24</v>
      </c>
    </row>
    <row r="39" customFormat="false" ht="15" hidden="false" customHeight="false" outlineLevel="0" collapsed="false">
      <c r="A39" s="52" t="n">
        <v>9</v>
      </c>
      <c r="B39" s="53" t="s">
        <v>64</v>
      </c>
      <c r="C39" s="54" t="s">
        <v>65</v>
      </c>
      <c r="D39" s="55" t="n">
        <f aca="false">VLOOKUP(C39,'[1]PREÇO ATUAL'!$A$1:$D$1048576,4,0)</f>
        <v>342</v>
      </c>
      <c r="E39" s="84" t="n">
        <v>1.35</v>
      </c>
      <c r="F39" s="84" t="n">
        <v>1.9</v>
      </c>
      <c r="G39" s="84" t="n">
        <v>1.8</v>
      </c>
      <c r="H39" s="84" t="n">
        <v>1.85</v>
      </c>
      <c r="I39" s="85" t="n">
        <v>1.4</v>
      </c>
      <c r="J39" s="85" t="n">
        <v>2.1</v>
      </c>
      <c r="K39" s="85" t="n">
        <v>1.8</v>
      </c>
      <c r="L39" s="85" t="n">
        <v>1.9</v>
      </c>
      <c r="M39" s="85" t="n">
        <v>1.35</v>
      </c>
      <c r="N39" s="84" t="n">
        <v>1.85</v>
      </c>
      <c r="O39" s="84" t="n">
        <v>1.85</v>
      </c>
      <c r="P39" s="84" t="n">
        <v>4.7</v>
      </c>
      <c r="Q39" s="84" t="n">
        <v>1.35</v>
      </c>
      <c r="R39" s="84" t="n">
        <v>1.9</v>
      </c>
      <c r="S39" s="84" t="n">
        <v>1.8</v>
      </c>
      <c r="T39" s="58" t="n">
        <f aca="false">D39*E39</f>
        <v>461.7</v>
      </c>
      <c r="U39" s="58" t="n">
        <f aca="false">$D39*F39</f>
        <v>649.8</v>
      </c>
      <c r="V39" s="58" t="n">
        <f aca="false">$D39*G39</f>
        <v>615.6</v>
      </c>
      <c r="W39" s="58" t="n">
        <f aca="false">$D39*H39</f>
        <v>632.7</v>
      </c>
      <c r="X39" s="58" t="n">
        <f aca="false">$D39*I39</f>
        <v>478.8</v>
      </c>
      <c r="Y39" s="58" t="n">
        <f aca="false">$D39*J39</f>
        <v>718.2</v>
      </c>
      <c r="Z39" s="58" t="n">
        <f aca="false">$D39*K39</f>
        <v>615.6</v>
      </c>
      <c r="AA39" s="58" t="n">
        <f aca="false">$D39*L39</f>
        <v>649.8</v>
      </c>
      <c r="AB39" s="58" t="n">
        <f aca="false">$D39*M39</f>
        <v>461.7</v>
      </c>
      <c r="AC39" s="58" t="n">
        <f aca="false">$D39*N39</f>
        <v>632.7</v>
      </c>
      <c r="AD39" s="58" t="n">
        <f aca="false">$D39*O39</f>
        <v>632.7</v>
      </c>
      <c r="AE39" s="58" t="n">
        <f aca="false">$D39*P39</f>
        <v>1607.4</v>
      </c>
      <c r="AF39" s="58" t="n">
        <f aca="false">$D39*Q39</f>
        <v>461.7</v>
      </c>
      <c r="AG39" s="58" t="n">
        <f aca="false">$D39*R39</f>
        <v>649.8</v>
      </c>
      <c r="AH39" s="58" t="n">
        <f aca="false">$D39*S39</f>
        <v>615.6</v>
      </c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</sheetData>
  <mergeCells count="9">
    <mergeCell ref="A1:D1"/>
    <mergeCell ref="E1:S2"/>
    <mergeCell ref="T1:AC1"/>
    <mergeCell ref="A13:D13"/>
    <mergeCell ref="E13:S13"/>
    <mergeCell ref="T13:AH13"/>
    <mergeCell ref="A26:D26"/>
    <mergeCell ref="E26:S26"/>
    <mergeCell ref="T26:AH2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H981"/>
  <sheetViews>
    <sheetView showFormulas="false" showGridLines="false" showRowColHeaders="true" showZeros="true" rightToLeft="false" tabSelected="false" showOutlineSymbols="true" defaultGridColor="true" view="normal" topLeftCell="A20" colorId="64" zoomScale="100" zoomScaleNormal="100" zoomScalePageLayoutView="100" workbookViewId="0">
      <pane xSplit="4" ySplit="0" topLeftCell="E20" activePane="topRight" state="frozen"/>
      <selection pane="topLeft" activeCell="A20" activeCellId="0" sqref="A20"/>
      <selection pane="topRight" activeCell="E50" activeCellId="0" sqref="E50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63.42"/>
    <col collapsed="false" customWidth="true" hidden="false" outlineLevel="0" max="3" min="3" style="0" width="19.57"/>
    <col collapsed="false" customWidth="true" hidden="false" outlineLevel="0" max="4" min="4" style="0" width="9.29"/>
    <col collapsed="false" customWidth="true" hidden="false" outlineLevel="0" max="5" min="5" style="0" width="7.15"/>
    <col collapsed="false" customWidth="true" hidden="false" outlineLevel="0" max="6" min="6" style="0" width="5.14"/>
    <col collapsed="false" customWidth="true" hidden="false" outlineLevel="0" max="7" min="7" style="0" width="6.28"/>
    <col collapsed="false" customWidth="true" hidden="false" outlineLevel="0" max="9" min="8" style="0" width="5.14"/>
    <col collapsed="false" customWidth="true" hidden="false" outlineLevel="0" max="10" min="10" style="0" width="6.28"/>
    <col collapsed="false" customWidth="true" hidden="false" outlineLevel="0" max="12" min="11" style="0" width="5.14"/>
    <col collapsed="false" customWidth="true" hidden="false" outlineLevel="0" max="13" min="13" style="0" width="6.28"/>
    <col collapsed="false" customWidth="true" hidden="false" outlineLevel="0" max="19" min="14" style="0" width="5.14"/>
    <col collapsed="false" customWidth="true" hidden="false" outlineLevel="0" max="28" min="20" style="0" width="15.71"/>
    <col collapsed="false" customWidth="true" hidden="false" outlineLevel="0" max="29" min="29" style="0" width="16.87"/>
    <col collapsed="false" customWidth="true" hidden="false" outlineLevel="0" max="34" min="30" style="0" width="15.71"/>
  </cols>
  <sheetData>
    <row r="1" customFormat="false" ht="15.75" hidden="false" customHeight="true" outlineLevel="0" collapsed="false">
      <c r="A1" s="89" t="s">
        <v>243</v>
      </c>
      <c r="B1" s="89"/>
      <c r="C1" s="89"/>
      <c r="D1" s="89"/>
      <c r="E1" s="190" t="s">
        <v>29</v>
      </c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36" t="s">
        <v>30</v>
      </c>
      <c r="U1" s="36"/>
      <c r="V1" s="36"/>
      <c r="W1" s="36"/>
      <c r="X1" s="36"/>
      <c r="Y1" s="36"/>
      <c r="Z1" s="36"/>
      <c r="AA1" s="36"/>
      <c r="AB1" s="36"/>
      <c r="AC1" s="36"/>
    </row>
    <row r="2" customFormat="false" ht="15" hidden="false" customHeight="true" outlineLevel="0" collapsed="false">
      <c r="A2" s="89"/>
      <c r="B2" s="89"/>
      <c r="C2" s="89"/>
      <c r="D2" s="89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43" t="n">
        <f aca="false">MROUND(SUM(T4:T16),1)</f>
        <v>2386</v>
      </c>
      <c r="U2" s="43" t="n">
        <f aca="false">MROUND(SUM(U4:U16),1)</f>
        <v>2386</v>
      </c>
      <c r="V2" s="43" t="n">
        <f aca="false">MROUND(SUM(V4:V16),1)</f>
        <v>2386</v>
      </c>
      <c r="W2" s="43" t="n">
        <f aca="false">MROUND(SUM(W4:W16),1)</f>
        <v>3617</v>
      </c>
      <c r="X2" s="43" t="n">
        <f aca="false">MROUND(SUM(X4:X16),1)</f>
        <v>2420</v>
      </c>
      <c r="Y2" s="43" t="n">
        <f aca="false">MROUND(SUM(Y4:Y16),1)</f>
        <v>3615</v>
      </c>
      <c r="Z2" s="43" t="n">
        <f aca="false">MROUND(SUM(Z4:Z16),1)</f>
        <v>2386</v>
      </c>
      <c r="AA2" s="43" t="n">
        <f aca="false">MROUND(SUM(AA4:AA16),1)</f>
        <v>5410</v>
      </c>
      <c r="AB2" s="43" t="n">
        <f aca="false">MROUND(SUM(AB4:AB16),1)</f>
        <v>2386</v>
      </c>
      <c r="AC2" s="43" t="n">
        <f aca="false">MROUND(SUM(AC4:AC16),1)</f>
        <v>2420</v>
      </c>
      <c r="AD2" s="172" t="n">
        <f aca="false">SUM(T2:AC2)</f>
        <v>29412</v>
      </c>
    </row>
    <row r="3" customFormat="false" ht="15" hidden="false" customHeight="false" outlineLevel="0" collapsed="false">
      <c r="A3" s="45" t="s">
        <v>32</v>
      </c>
      <c r="B3" s="45" t="s">
        <v>33</v>
      </c>
      <c r="C3" s="46" t="s">
        <v>34</v>
      </c>
      <c r="D3" s="47" t="s">
        <v>35</v>
      </c>
      <c r="E3" s="48" t="s">
        <v>186</v>
      </c>
      <c r="F3" s="48" t="s">
        <v>187</v>
      </c>
      <c r="G3" s="48" t="s">
        <v>188</v>
      </c>
      <c r="H3" s="48" t="s">
        <v>189</v>
      </c>
      <c r="I3" s="48" t="s">
        <v>190</v>
      </c>
      <c r="J3" s="48" t="s">
        <v>191</v>
      </c>
      <c r="K3" s="48" t="s">
        <v>192</v>
      </c>
      <c r="L3" s="48" t="s">
        <v>193</v>
      </c>
      <c r="M3" s="48" t="s">
        <v>194</v>
      </c>
      <c r="N3" s="48" t="s">
        <v>195</v>
      </c>
      <c r="O3" s="48"/>
      <c r="P3" s="48"/>
      <c r="Q3" s="48"/>
      <c r="R3" s="48"/>
      <c r="S3" s="48"/>
      <c r="T3" s="48" t="n">
        <v>20000</v>
      </c>
      <c r="U3" s="48" t="n">
        <v>40000</v>
      </c>
      <c r="V3" s="48" t="n">
        <v>60000</v>
      </c>
      <c r="W3" s="48" t="n">
        <v>80000</v>
      </c>
      <c r="X3" s="48" t="n">
        <v>100000</v>
      </c>
      <c r="Y3" s="48" t="n">
        <v>120000</v>
      </c>
      <c r="Z3" s="48" t="n">
        <v>140000</v>
      </c>
      <c r="AA3" s="48" t="n">
        <v>160000</v>
      </c>
      <c r="AB3" s="48" t="n">
        <v>180000</v>
      </c>
      <c r="AC3" s="48" t="n">
        <v>200000</v>
      </c>
    </row>
    <row r="4" customFormat="false" ht="15" hidden="false" customHeight="false" outlineLevel="0" collapsed="false">
      <c r="A4" s="60" t="n">
        <v>1</v>
      </c>
      <c r="B4" s="61" t="s">
        <v>48</v>
      </c>
      <c r="C4" s="62" t="s">
        <v>244</v>
      </c>
      <c r="D4" s="191" t="n">
        <f aca="false">VLOOKUP(C4,'[1]PREÇO ATUAL'!$A$1:$D$1048576,4,0)</f>
        <v>115.4</v>
      </c>
      <c r="E4" s="64" t="n">
        <v>1</v>
      </c>
      <c r="F4" s="64" t="n">
        <v>1</v>
      </c>
      <c r="G4" s="64" t="n">
        <v>1</v>
      </c>
      <c r="H4" s="64" t="n">
        <v>1</v>
      </c>
      <c r="I4" s="65" t="n">
        <v>1</v>
      </c>
      <c r="J4" s="65" t="n">
        <v>1</v>
      </c>
      <c r="K4" s="65" t="n">
        <v>1</v>
      </c>
      <c r="L4" s="65" t="n">
        <v>1</v>
      </c>
      <c r="M4" s="65" t="n">
        <v>1</v>
      </c>
      <c r="N4" s="97" t="n">
        <v>1</v>
      </c>
      <c r="O4" s="65"/>
      <c r="P4" s="65"/>
      <c r="Q4" s="65"/>
      <c r="R4" s="65"/>
      <c r="S4" s="65"/>
      <c r="T4" s="66" t="n">
        <f aca="false">$D4*E4</f>
        <v>115.4</v>
      </c>
      <c r="U4" s="66" t="n">
        <f aca="false">$D4*F4</f>
        <v>115.4</v>
      </c>
      <c r="V4" s="66" t="n">
        <f aca="false">$D4*G4</f>
        <v>115.4</v>
      </c>
      <c r="W4" s="66" t="n">
        <f aca="false">$D4*H4</f>
        <v>115.4</v>
      </c>
      <c r="X4" s="66" t="n">
        <f aca="false">$D4*I4</f>
        <v>115.4</v>
      </c>
      <c r="Y4" s="66" t="n">
        <f aca="false">$D4*J4</f>
        <v>115.4</v>
      </c>
      <c r="Z4" s="66" t="n">
        <f aca="false">$D4*K4</f>
        <v>115.4</v>
      </c>
      <c r="AA4" s="66" t="n">
        <f aca="false">$D4*L4</f>
        <v>115.4</v>
      </c>
      <c r="AB4" s="66" t="n">
        <f aca="false">$D4*M4</f>
        <v>115.4</v>
      </c>
      <c r="AC4" s="66" t="n">
        <f aca="false">$D4*N4</f>
        <v>115.4</v>
      </c>
    </row>
    <row r="5" customFormat="false" ht="15" hidden="false" customHeight="false" outlineLevel="0" collapsed="false">
      <c r="A5" s="52" t="n">
        <v>2</v>
      </c>
      <c r="B5" s="53" t="s">
        <v>245</v>
      </c>
      <c r="C5" s="54" t="s">
        <v>246</v>
      </c>
      <c r="D5" s="131" t="n">
        <f aca="false">VLOOKUP(C5,'[1]PREÇO ATUAL'!$A$1:$D$1048576,4,0)</f>
        <v>13.243692</v>
      </c>
      <c r="E5" s="56" t="n">
        <v>1</v>
      </c>
      <c r="F5" s="56" t="n">
        <v>1</v>
      </c>
      <c r="G5" s="56" t="n">
        <v>1</v>
      </c>
      <c r="H5" s="56" t="n">
        <v>1</v>
      </c>
      <c r="I5" s="57" t="n">
        <v>1</v>
      </c>
      <c r="J5" s="57" t="n">
        <v>1</v>
      </c>
      <c r="K5" s="57" t="n">
        <v>1</v>
      </c>
      <c r="L5" s="57" t="n">
        <v>1</v>
      </c>
      <c r="M5" s="57" t="n">
        <v>1</v>
      </c>
      <c r="N5" s="96" t="n">
        <v>1</v>
      </c>
      <c r="O5" s="57"/>
      <c r="P5" s="57"/>
      <c r="Q5" s="57"/>
      <c r="R5" s="57"/>
      <c r="S5" s="57"/>
      <c r="T5" s="58" t="n">
        <f aca="false">$D5*E5</f>
        <v>13.243692</v>
      </c>
      <c r="U5" s="58" t="n">
        <f aca="false">$D5*F5</f>
        <v>13.243692</v>
      </c>
      <c r="V5" s="58" t="n">
        <f aca="false">$D5*G5</f>
        <v>13.243692</v>
      </c>
      <c r="W5" s="58" t="n">
        <f aca="false">$D5*H5</f>
        <v>13.243692</v>
      </c>
      <c r="X5" s="58" t="n">
        <f aca="false">$D5*I5</f>
        <v>13.243692</v>
      </c>
      <c r="Y5" s="58" t="n">
        <f aca="false">$D5*J5</f>
        <v>13.243692</v>
      </c>
      <c r="Z5" s="58" t="n">
        <f aca="false">$D5*K5</f>
        <v>13.243692</v>
      </c>
      <c r="AA5" s="58" t="n">
        <f aca="false">$D5*L5</f>
        <v>13.243692</v>
      </c>
      <c r="AB5" s="58" t="n">
        <f aca="false">$D5*M5</f>
        <v>13.243692</v>
      </c>
      <c r="AC5" s="58" t="n">
        <f aca="false">$D5*N5</f>
        <v>13.243692</v>
      </c>
    </row>
    <row r="6" customFormat="false" ht="15" hidden="false" customHeight="false" outlineLevel="0" collapsed="false">
      <c r="A6" s="60" t="n">
        <v>3</v>
      </c>
      <c r="B6" s="61" t="s">
        <v>50</v>
      </c>
      <c r="C6" s="62" t="s">
        <v>247</v>
      </c>
      <c r="D6" s="191" t="n">
        <f aca="false">VLOOKUP(C6,'[1]PREÇO ATUAL'!$A$1:$D$1048576,4,0)</f>
        <v>509.11476</v>
      </c>
      <c r="E6" s="64" t="n">
        <v>1</v>
      </c>
      <c r="F6" s="64" t="n">
        <v>1</v>
      </c>
      <c r="G6" s="64" t="n">
        <v>1</v>
      </c>
      <c r="H6" s="64" t="n">
        <v>1</v>
      </c>
      <c r="I6" s="65" t="n">
        <v>1</v>
      </c>
      <c r="J6" s="65" t="n">
        <v>1</v>
      </c>
      <c r="K6" s="65" t="n">
        <v>1</v>
      </c>
      <c r="L6" s="65" t="n">
        <v>1</v>
      </c>
      <c r="M6" s="65" t="n">
        <v>1</v>
      </c>
      <c r="N6" s="97" t="n">
        <v>1</v>
      </c>
      <c r="O6" s="65"/>
      <c r="P6" s="65"/>
      <c r="Q6" s="65"/>
      <c r="R6" s="65"/>
      <c r="S6" s="65"/>
      <c r="T6" s="66" t="n">
        <f aca="false">$D6*E6</f>
        <v>509.11476</v>
      </c>
      <c r="U6" s="66" t="n">
        <f aca="false">$D6*F6</f>
        <v>509.11476</v>
      </c>
      <c r="V6" s="66" t="n">
        <f aca="false">$D6*G6</f>
        <v>509.11476</v>
      </c>
      <c r="W6" s="66" t="n">
        <f aca="false">$D6*H6</f>
        <v>509.11476</v>
      </c>
      <c r="X6" s="66" t="n">
        <f aca="false">$D6*I6</f>
        <v>509.11476</v>
      </c>
      <c r="Y6" s="66" t="n">
        <f aca="false">$D6*J6</f>
        <v>509.11476</v>
      </c>
      <c r="Z6" s="66" t="n">
        <f aca="false">$D6*K6</f>
        <v>509.11476</v>
      </c>
      <c r="AA6" s="66" t="n">
        <f aca="false">$D6*L6</f>
        <v>509.11476</v>
      </c>
      <c r="AB6" s="66" t="n">
        <f aca="false">$D6*M6</f>
        <v>509.11476</v>
      </c>
      <c r="AC6" s="66" t="n">
        <f aca="false">$D6*N6</f>
        <v>509.11476</v>
      </c>
    </row>
    <row r="7" customFormat="false" ht="15" hidden="false" customHeight="false" outlineLevel="0" collapsed="false">
      <c r="A7" s="52" t="n">
        <v>4</v>
      </c>
      <c r="B7" s="53" t="s">
        <v>52</v>
      </c>
      <c r="C7" s="54" t="s">
        <v>248</v>
      </c>
      <c r="D7" s="131" t="n">
        <f aca="false">VLOOKUP(C7,'[1]PREÇO ATUAL'!$A$1:$D$1048576,4,0)</f>
        <v>267.12</v>
      </c>
      <c r="E7" s="56" t="n">
        <v>1</v>
      </c>
      <c r="F7" s="56" t="n">
        <v>1</v>
      </c>
      <c r="G7" s="56" t="n">
        <v>1</v>
      </c>
      <c r="H7" s="56" t="n">
        <v>1</v>
      </c>
      <c r="I7" s="57" t="n">
        <v>1</v>
      </c>
      <c r="J7" s="57" t="n">
        <v>1</v>
      </c>
      <c r="K7" s="57" t="n">
        <v>1</v>
      </c>
      <c r="L7" s="57" t="n">
        <v>1</v>
      </c>
      <c r="M7" s="57" t="n">
        <v>1</v>
      </c>
      <c r="N7" s="96" t="n">
        <v>1</v>
      </c>
      <c r="O7" s="57"/>
      <c r="P7" s="57"/>
      <c r="Q7" s="57"/>
      <c r="R7" s="57"/>
      <c r="S7" s="57"/>
      <c r="T7" s="58" t="n">
        <f aca="false">$D7*E7</f>
        <v>267.12</v>
      </c>
      <c r="U7" s="58" t="n">
        <f aca="false">$D7*F7</f>
        <v>267.12</v>
      </c>
      <c r="V7" s="58" t="n">
        <f aca="false">$D7*G7</f>
        <v>267.12</v>
      </c>
      <c r="W7" s="58" t="n">
        <f aca="false">$D7*H7</f>
        <v>267.12</v>
      </c>
      <c r="X7" s="58" t="n">
        <f aca="false">$D7*I7</f>
        <v>267.12</v>
      </c>
      <c r="Y7" s="58" t="n">
        <f aca="false">$D7*J7</f>
        <v>267.12</v>
      </c>
      <c r="Z7" s="58" t="n">
        <f aca="false">$D7*K7</f>
        <v>267.12</v>
      </c>
      <c r="AA7" s="58" t="n">
        <f aca="false">$D7*L7</f>
        <v>267.12</v>
      </c>
      <c r="AB7" s="58" t="n">
        <f aca="false">$D7*M7</f>
        <v>267.12</v>
      </c>
      <c r="AC7" s="58" t="n">
        <f aca="false">$D7*N7</f>
        <v>267.12</v>
      </c>
    </row>
    <row r="8" customFormat="false" ht="15" hidden="false" customHeight="false" outlineLevel="0" collapsed="false">
      <c r="A8" s="60" t="n">
        <v>5</v>
      </c>
      <c r="B8" s="61" t="s">
        <v>249</v>
      </c>
      <c r="C8" s="62" t="s">
        <v>250</v>
      </c>
      <c r="D8" s="191" t="n">
        <f aca="false">VLOOKUP(C8,'[1]PREÇO ATUAL'!$A$1:$D$1048576,4,0)</f>
        <v>79</v>
      </c>
      <c r="E8" s="64" t="n">
        <v>1</v>
      </c>
      <c r="F8" s="64" t="n">
        <v>1</v>
      </c>
      <c r="G8" s="64" t="n">
        <v>1</v>
      </c>
      <c r="H8" s="64" t="n">
        <v>1</v>
      </c>
      <c r="I8" s="65" t="n">
        <v>1</v>
      </c>
      <c r="J8" s="65" t="n">
        <v>1</v>
      </c>
      <c r="K8" s="65" t="n">
        <v>1</v>
      </c>
      <c r="L8" s="65" t="n">
        <v>1</v>
      </c>
      <c r="M8" s="65" t="n">
        <v>1</v>
      </c>
      <c r="N8" s="97" t="n">
        <v>1</v>
      </c>
      <c r="O8" s="65"/>
      <c r="P8" s="65"/>
      <c r="Q8" s="65"/>
      <c r="R8" s="65"/>
      <c r="S8" s="65"/>
      <c r="T8" s="66" t="n">
        <f aca="false">$D8*E8</f>
        <v>79</v>
      </c>
      <c r="U8" s="66" t="n">
        <f aca="false">$D8*F8</f>
        <v>79</v>
      </c>
      <c r="V8" s="66" t="n">
        <f aca="false">$D8*G8</f>
        <v>79</v>
      </c>
      <c r="W8" s="66" t="n">
        <f aca="false">$D8*H8</f>
        <v>79</v>
      </c>
      <c r="X8" s="66" t="n">
        <f aca="false">$D8*I8</f>
        <v>79</v>
      </c>
      <c r="Y8" s="66" t="n">
        <f aca="false">$D8*J8</f>
        <v>79</v>
      </c>
      <c r="Z8" s="66" t="n">
        <f aca="false">$D8*K8</f>
        <v>79</v>
      </c>
      <c r="AA8" s="66" t="n">
        <f aca="false">$D8*L8</f>
        <v>79</v>
      </c>
      <c r="AB8" s="66" t="n">
        <f aca="false">$D8*M8</f>
        <v>79</v>
      </c>
      <c r="AC8" s="66" t="n">
        <f aca="false">$D8*N8</f>
        <v>79</v>
      </c>
    </row>
    <row r="9" customFormat="false" ht="15" hidden="false" customHeight="false" outlineLevel="0" collapsed="false">
      <c r="A9" s="52" t="n">
        <v>6</v>
      </c>
      <c r="B9" s="53" t="s">
        <v>251</v>
      </c>
      <c r="C9" s="54" t="s">
        <v>252</v>
      </c>
      <c r="D9" s="131" t="n">
        <f aca="false">VLOOKUP(C9,'[1]PREÇO ATUAL'!$A$1:$D$1048576,4,0)</f>
        <v>581.33</v>
      </c>
      <c r="E9" s="56"/>
      <c r="F9" s="56"/>
      <c r="G9" s="56"/>
      <c r="H9" s="56" t="n">
        <v>1</v>
      </c>
      <c r="I9" s="57"/>
      <c r="J9" s="57"/>
      <c r="K9" s="57"/>
      <c r="L9" s="57" t="n">
        <v>1</v>
      </c>
      <c r="M9" s="57"/>
      <c r="N9" s="96"/>
      <c r="O9" s="57"/>
      <c r="P9" s="57"/>
      <c r="Q9" s="57"/>
      <c r="R9" s="57"/>
      <c r="S9" s="57"/>
      <c r="T9" s="58" t="n">
        <f aca="false">$D9*E9</f>
        <v>0</v>
      </c>
      <c r="U9" s="58" t="n">
        <f aca="false">$D9*F9</f>
        <v>0</v>
      </c>
      <c r="V9" s="58" t="n">
        <f aca="false">$D9*G9</f>
        <v>0</v>
      </c>
      <c r="W9" s="58" t="n">
        <f aca="false">$D9*H9</f>
        <v>581.33</v>
      </c>
      <c r="X9" s="58" t="n">
        <f aca="false">$D9*I9</f>
        <v>0</v>
      </c>
      <c r="Y9" s="58" t="n">
        <f aca="false">$D9*J9</f>
        <v>0</v>
      </c>
      <c r="Z9" s="58" t="n">
        <f aca="false">$D9*K9</f>
        <v>0</v>
      </c>
      <c r="AA9" s="58" t="n">
        <f aca="false">$D9*L9</f>
        <v>581.33</v>
      </c>
      <c r="AB9" s="58" t="n">
        <f aca="false">$D9*M9</f>
        <v>0</v>
      </c>
      <c r="AC9" s="58" t="n">
        <f aca="false">$D9*N9</f>
        <v>0</v>
      </c>
    </row>
    <row r="10" customFormat="false" ht="15" hidden="false" customHeight="false" outlineLevel="0" collapsed="false">
      <c r="A10" s="60" t="n">
        <v>7</v>
      </c>
      <c r="B10" s="61" t="s">
        <v>253</v>
      </c>
      <c r="C10" s="62" t="s">
        <v>254</v>
      </c>
      <c r="D10" s="191" t="n">
        <f aca="false">VLOOKUP(C10,'[1]PREÇO ATUAL'!$A$1:$D$1048576,4,0)</f>
        <v>583.494912</v>
      </c>
      <c r="E10" s="64"/>
      <c r="F10" s="64"/>
      <c r="G10" s="64"/>
      <c r="H10" s="64"/>
      <c r="I10" s="65"/>
      <c r="J10" s="65"/>
      <c r="K10" s="65"/>
      <c r="L10" s="65" t="n">
        <v>1</v>
      </c>
      <c r="M10" s="65"/>
      <c r="N10" s="97"/>
      <c r="O10" s="65"/>
      <c r="P10" s="65"/>
      <c r="Q10" s="65"/>
      <c r="R10" s="65"/>
      <c r="S10" s="65"/>
      <c r="T10" s="66" t="n">
        <f aca="false">$D10*E10</f>
        <v>0</v>
      </c>
      <c r="U10" s="66" t="n">
        <f aca="false">$D10*F10</f>
        <v>0</v>
      </c>
      <c r="V10" s="66" t="n">
        <f aca="false">$D10*G10</f>
        <v>0</v>
      </c>
      <c r="W10" s="66" t="n">
        <f aca="false">$D10*H10</f>
        <v>0</v>
      </c>
      <c r="X10" s="66" t="n">
        <f aca="false">$D10*I10</f>
        <v>0</v>
      </c>
      <c r="Y10" s="66" t="n">
        <f aca="false">$D10*J10</f>
        <v>0</v>
      </c>
      <c r="Z10" s="66" t="n">
        <f aca="false">$D10*K10</f>
        <v>0</v>
      </c>
      <c r="AA10" s="66" t="n">
        <f aca="false">$D10*L10</f>
        <v>583.494912</v>
      </c>
      <c r="AB10" s="66" t="n">
        <f aca="false">$D10*M10</f>
        <v>0</v>
      </c>
      <c r="AC10" s="66" t="n">
        <f aca="false">$D10*N10</f>
        <v>0</v>
      </c>
    </row>
    <row r="11" customFormat="false" ht="15" hidden="false" customHeight="false" outlineLevel="0" collapsed="false">
      <c r="A11" s="125" t="n">
        <v>8</v>
      </c>
      <c r="B11" s="53" t="s">
        <v>255</v>
      </c>
      <c r="C11" s="127" t="s">
        <v>256</v>
      </c>
      <c r="D11" s="131" t="n">
        <f aca="false">VLOOKUP(C11,'[1]PREÇO ATUAL'!$A$1:$D$1048576,4,0)</f>
        <v>1208.85534</v>
      </c>
      <c r="E11" s="130"/>
      <c r="F11" s="130"/>
      <c r="G11" s="130"/>
      <c r="H11" s="130"/>
      <c r="I11" s="132"/>
      <c r="J11" s="132"/>
      <c r="K11" s="132"/>
      <c r="L11" s="132" t="n">
        <v>1</v>
      </c>
      <c r="M11" s="132"/>
      <c r="N11" s="192"/>
      <c r="O11" s="132"/>
      <c r="P11" s="132"/>
      <c r="Q11" s="132"/>
      <c r="R11" s="132"/>
      <c r="S11" s="132"/>
      <c r="T11" s="134" t="n">
        <f aca="false">$D11*E11</f>
        <v>0</v>
      </c>
      <c r="U11" s="134" t="n">
        <f aca="false">$D11*F11</f>
        <v>0</v>
      </c>
      <c r="V11" s="134" t="n">
        <f aca="false">$D11*G11</f>
        <v>0</v>
      </c>
      <c r="W11" s="134" t="n">
        <f aca="false">$D11*H11</f>
        <v>0</v>
      </c>
      <c r="X11" s="134" t="n">
        <f aca="false">$D11*I11</f>
        <v>0</v>
      </c>
      <c r="Y11" s="134" t="n">
        <f aca="false">$D11*J11</f>
        <v>0</v>
      </c>
      <c r="Z11" s="134" t="n">
        <f aca="false">$D11*K11</f>
        <v>0</v>
      </c>
      <c r="AA11" s="134" t="n">
        <f aca="false">$D11*L11</f>
        <v>1208.85534</v>
      </c>
      <c r="AB11" s="134" t="n">
        <f aca="false">$D11*M11</f>
        <v>0</v>
      </c>
      <c r="AC11" s="134" t="n">
        <f aca="false">$D11*N11</f>
        <v>0</v>
      </c>
    </row>
    <row r="12" customFormat="false" ht="15" hidden="false" customHeight="false" outlineLevel="0" collapsed="false">
      <c r="A12" s="137" t="n">
        <v>9</v>
      </c>
      <c r="B12" s="193" t="s">
        <v>257</v>
      </c>
      <c r="C12" s="139" t="s">
        <v>258</v>
      </c>
      <c r="D12" s="191" t="n">
        <f aca="false">VLOOKUP(C12,'[1]PREÇO ATUAL'!$A$1:$D$1048576,4,0)</f>
        <v>274.05734512484</v>
      </c>
      <c r="E12" s="176"/>
      <c r="F12" s="176"/>
      <c r="G12" s="176"/>
      <c r="H12" s="176"/>
      <c r="I12" s="177"/>
      <c r="J12" s="177" t="n">
        <v>1</v>
      </c>
      <c r="K12" s="177"/>
      <c r="L12" s="177"/>
      <c r="M12" s="177"/>
      <c r="N12" s="194"/>
      <c r="O12" s="177"/>
      <c r="P12" s="177"/>
      <c r="Q12" s="177"/>
      <c r="R12" s="177"/>
      <c r="S12" s="177"/>
      <c r="T12" s="142" t="n">
        <f aca="false">$D12*E12</f>
        <v>0</v>
      </c>
      <c r="U12" s="142" t="n">
        <f aca="false">$D12*F12</f>
        <v>0</v>
      </c>
      <c r="V12" s="142" t="n">
        <f aca="false">$D12*G12</f>
        <v>0</v>
      </c>
      <c r="W12" s="142" t="n">
        <f aca="false">$D12*H12</f>
        <v>0</v>
      </c>
      <c r="X12" s="142" t="n">
        <f aca="false">$D12*I12</f>
        <v>0</v>
      </c>
      <c r="Y12" s="142" t="n">
        <f aca="false">$D12*J12</f>
        <v>274.05734512484</v>
      </c>
      <c r="Z12" s="142" t="n">
        <f aca="false">$D12*K12</f>
        <v>0</v>
      </c>
      <c r="AA12" s="142" t="n">
        <f aca="false">$D12*L12</f>
        <v>0</v>
      </c>
      <c r="AB12" s="142" t="n">
        <f aca="false">$D12*M12</f>
        <v>0</v>
      </c>
      <c r="AC12" s="142" t="n">
        <f aca="false">$D12*N12</f>
        <v>0</v>
      </c>
    </row>
    <row r="13" customFormat="false" ht="15" hidden="false" customHeight="false" outlineLevel="0" collapsed="false">
      <c r="A13" s="125" t="n">
        <v>10</v>
      </c>
      <c r="B13" s="195" t="s">
        <v>259</v>
      </c>
      <c r="C13" s="127" t="s">
        <v>260</v>
      </c>
      <c r="D13" s="131" t="n">
        <f aca="false">VLOOKUP(C13,'[1]PREÇO ATUAL'!$A$1:$D$1048576,4,0)</f>
        <v>749.534016</v>
      </c>
      <c r="E13" s="130"/>
      <c r="F13" s="130"/>
      <c r="G13" s="130"/>
      <c r="H13" s="130"/>
      <c r="I13" s="132"/>
      <c r="J13" s="132" t="n">
        <v>1</v>
      </c>
      <c r="K13" s="132"/>
      <c r="L13" s="132"/>
      <c r="M13" s="132"/>
      <c r="N13" s="192"/>
      <c r="O13" s="132"/>
      <c r="P13" s="132"/>
      <c r="Q13" s="132"/>
      <c r="R13" s="132"/>
      <c r="S13" s="132"/>
      <c r="T13" s="134" t="n">
        <f aca="false">$D13*E13</f>
        <v>0</v>
      </c>
      <c r="U13" s="134" t="n">
        <f aca="false">$D13*F13</f>
        <v>0</v>
      </c>
      <c r="V13" s="134" t="n">
        <f aca="false">$D13*G13</f>
        <v>0</v>
      </c>
      <c r="W13" s="134" t="n">
        <f aca="false">$D13*H13</f>
        <v>0</v>
      </c>
      <c r="X13" s="134" t="n">
        <f aca="false">$D13*I13</f>
        <v>0</v>
      </c>
      <c r="Y13" s="134" t="n">
        <f aca="false">$D13*J13</f>
        <v>749.534016</v>
      </c>
      <c r="Z13" s="134" t="n">
        <f aca="false">$D13*K13</f>
        <v>0</v>
      </c>
      <c r="AA13" s="134" t="n">
        <f aca="false">$D13*L13</f>
        <v>0</v>
      </c>
      <c r="AB13" s="134" t="n">
        <f aca="false">$D13*M13</f>
        <v>0</v>
      </c>
      <c r="AC13" s="134" t="n">
        <f aca="false">$D13*N13</f>
        <v>0</v>
      </c>
    </row>
    <row r="14" customFormat="false" ht="15" hidden="false" customHeight="false" outlineLevel="0" collapsed="false">
      <c r="A14" s="137" t="n">
        <v>11</v>
      </c>
      <c r="B14" s="138" t="s">
        <v>261</v>
      </c>
      <c r="C14" s="139" t="s">
        <v>61</v>
      </c>
      <c r="D14" s="191" t="n">
        <f aca="false">VLOOKUP(C14,'[1]PREÇO ATUAL'!$A$1:$D$1048576,4,0)</f>
        <v>33.6224930838505</v>
      </c>
      <c r="E14" s="176"/>
      <c r="F14" s="176"/>
      <c r="G14" s="176"/>
      <c r="H14" s="176"/>
      <c r="I14" s="177"/>
      <c r="J14" s="177"/>
      <c r="K14" s="177"/>
      <c r="L14" s="177"/>
      <c r="M14" s="177"/>
      <c r="N14" s="194"/>
      <c r="O14" s="177"/>
      <c r="P14" s="177"/>
      <c r="Q14" s="177"/>
      <c r="R14" s="177"/>
      <c r="S14" s="177"/>
      <c r="T14" s="142" t="n">
        <f aca="false">$D14*E14</f>
        <v>0</v>
      </c>
      <c r="U14" s="142" t="n">
        <f aca="false">$D14*F14</f>
        <v>0</v>
      </c>
      <c r="V14" s="142" t="n">
        <f aca="false">$D14*G14</f>
        <v>0</v>
      </c>
      <c r="W14" s="142" t="n">
        <f aca="false">$D14*H14</f>
        <v>0</v>
      </c>
      <c r="X14" s="142" t="n">
        <f aca="false">$D14*I14</f>
        <v>0</v>
      </c>
      <c r="Y14" s="142" t="n">
        <f aca="false">$D14*J14</f>
        <v>0</v>
      </c>
      <c r="Z14" s="142" t="n">
        <f aca="false">$D14*K14</f>
        <v>0</v>
      </c>
      <c r="AA14" s="142" t="n">
        <f aca="false">$D14*L14</f>
        <v>0</v>
      </c>
      <c r="AB14" s="142" t="n">
        <f aca="false">$D14*M14</f>
        <v>0</v>
      </c>
      <c r="AC14" s="142" t="n">
        <f aca="false">$D14*N14</f>
        <v>0</v>
      </c>
    </row>
    <row r="15" customFormat="false" ht="15" hidden="false" customHeight="false" outlineLevel="0" collapsed="false">
      <c r="A15" s="125" t="n">
        <v>12</v>
      </c>
      <c r="B15" s="126" t="s">
        <v>262</v>
      </c>
      <c r="C15" s="127" t="s">
        <v>263</v>
      </c>
      <c r="D15" s="131" t="n">
        <f aca="false">VLOOKUP(C15,'[1]PREÇO ATUAL'!$A$1:$D$1048576,4,0)</f>
        <v>98.4735649675258</v>
      </c>
      <c r="E15" s="129" t="n">
        <v>6.6</v>
      </c>
      <c r="F15" s="129" t="n">
        <v>6.6</v>
      </c>
      <c r="G15" s="129" t="n">
        <v>6.6</v>
      </c>
      <c r="H15" s="129" t="n">
        <v>6.6</v>
      </c>
      <c r="I15" s="131" t="n">
        <v>6.6</v>
      </c>
      <c r="J15" s="131" t="n">
        <v>6.6</v>
      </c>
      <c r="K15" s="131" t="n">
        <v>6.6</v>
      </c>
      <c r="L15" s="131" t="n">
        <v>6.6</v>
      </c>
      <c r="M15" s="131" t="n">
        <v>6.6</v>
      </c>
      <c r="N15" s="133" t="n">
        <v>6.6</v>
      </c>
      <c r="O15" s="131"/>
      <c r="P15" s="131"/>
      <c r="Q15" s="131"/>
      <c r="R15" s="131"/>
      <c r="S15" s="131"/>
      <c r="T15" s="134" t="n">
        <f aca="false">$D15*E15</f>
        <v>649.92552878567</v>
      </c>
      <c r="U15" s="134" t="n">
        <f aca="false">$D15*F15</f>
        <v>649.92552878567</v>
      </c>
      <c r="V15" s="134" t="n">
        <f aca="false">$D15*G15</f>
        <v>649.92552878567</v>
      </c>
      <c r="W15" s="134" t="n">
        <f aca="false">$D15*H15</f>
        <v>649.92552878567</v>
      </c>
      <c r="X15" s="134" t="n">
        <f aca="false">$D15*I15</f>
        <v>649.92552878567</v>
      </c>
      <c r="Y15" s="134" t="n">
        <f aca="false">$D15*J15</f>
        <v>649.92552878567</v>
      </c>
      <c r="Z15" s="134" t="n">
        <f aca="false">$D15*K15</f>
        <v>649.92552878567</v>
      </c>
      <c r="AA15" s="134" t="n">
        <f aca="false">$D15*L15</f>
        <v>649.92552878567</v>
      </c>
      <c r="AB15" s="134" t="n">
        <f aca="false">$D15*M15</f>
        <v>649.92552878567</v>
      </c>
      <c r="AC15" s="134" t="n">
        <f aca="false">$D15*N15</f>
        <v>649.92552878567</v>
      </c>
    </row>
    <row r="16" customFormat="false" ht="15" hidden="false" customHeight="false" outlineLevel="0" collapsed="false">
      <c r="A16" s="137" t="n">
        <v>13</v>
      </c>
      <c r="B16" s="138" t="s">
        <v>64</v>
      </c>
      <c r="C16" s="139" t="s">
        <v>65</v>
      </c>
      <c r="D16" s="191" t="n">
        <f aca="false">VLOOKUP(C16,'[1]PREÇO ATUAL'!$A$1:$D$1048576,4,0)</f>
        <v>342</v>
      </c>
      <c r="E16" s="182" t="n">
        <v>2.2</v>
      </c>
      <c r="F16" s="182" t="n">
        <v>2.2</v>
      </c>
      <c r="G16" s="182" t="n">
        <v>2.2</v>
      </c>
      <c r="H16" s="182" t="n">
        <v>4.1</v>
      </c>
      <c r="I16" s="191" t="n">
        <v>2.3</v>
      </c>
      <c r="J16" s="191" t="n">
        <v>2.8</v>
      </c>
      <c r="K16" s="191" t="n">
        <v>2.2</v>
      </c>
      <c r="L16" s="191" t="n">
        <v>4.1</v>
      </c>
      <c r="M16" s="191" t="n">
        <v>2.2</v>
      </c>
      <c r="N16" s="196" t="n">
        <v>2.3</v>
      </c>
      <c r="O16" s="191"/>
      <c r="P16" s="191"/>
      <c r="Q16" s="191"/>
      <c r="R16" s="191"/>
      <c r="S16" s="191"/>
      <c r="T16" s="142" t="n">
        <f aca="false">D16*E16</f>
        <v>752.4</v>
      </c>
      <c r="U16" s="142" t="n">
        <f aca="false">$D16*F16</f>
        <v>752.4</v>
      </c>
      <c r="V16" s="142" t="n">
        <f aca="false">$D16*G16</f>
        <v>752.4</v>
      </c>
      <c r="W16" s="142" t="n">
        <f aca="false">$D16*H16</f>
        <v>1402.2</v>
      </c>
      <c r="X16" s="142" t="n">
        <f aca="false">$D16*I16</f>
        <v>786.6</v>
      </c>
      <c r="Y16" s="142" t="n">
        <f aca="false">$D16*J16</f>
        <v>957.6</v>
      </c>
      <c r="Z16" s="142" t="n">
        <f aca="false">$D16*K16</f>
        <v>752.4</v>
      </c>
      <c r="AA16" s="142" t="n">
        <f aca="false">$D16*L16</f>
        <v>1402.2</v>
      </c>
      <c r="AB16" s="142" t="n">
        <f aca="false">$D16*M16</f>
        <v>752.4</v>
      </c>
      <c r="AC16" s="142" t="n">
        <f aca="false">$D16*N16</f>
        <v>786.6</v>
      </c>
    </row>
    <row r="17" customFormat="false" ht="15.75" hidden="false" customHeight="true" outlineLevel="0" collapsed="false">
      <c r="B17" s="197"/>
      <c r="I17" s="93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" hidden="false" customHeight="true" outlineLevel="0" collapsed="false">
      <c r="A20" s="198" t="s">
        <v>264</v>
      </c>
      <c r="B20" s="198"/>
      <c r="C20" s="198"/>
      <c r="D20" s="198"/>
      <c r="E20" s="190" t="s">
        <v>29</v>
      </c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9" t="s">
        <v>30</v>
      </c>
      <c r="U20" s="199"/>
      <c r="V20" s="199"/>
      <c r="W20" s="199"/>
      <c r="X20" s="199"/>
      <c r="Y20" s="199"/>
      <c r="Z20" s="199"/>
      <c r="AA20" s="199"/>
      <c r="AB20" s="199"/>
      <c r="AC20" s="199"/>
    </row>
    <row r="21" customFormat="false" ht="15" hidden="false" customHeight="true" outlineLevel="0" collapsed="false">
      <c r="A21" s="198"/>
      <c r="B21" s="198"/>
      <c r="C21" s="198"/>
      <c r="D21" s="198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43" t="n">
        <f aca="false">MROUND(SUM(T23:T30),1)</f>
        <v>1334</v>
      </c>
      <c r="U21" s="43" t="n">
        <f aca="false">MROUND(SUM(U23:U30),1)</f>
        <v>1590</v>
      </c>
      <c r="V21" s="43" t="n">
        <f aca="false">MROUND(SUM(V23:V30),1)</f>
        <v>2189</v>
      </c>
      <c r="W21" s="43" t="n">
        <f aca="false">MROUND(SUM(W23:W30),1)</f>
        <v>1966</v>
      </c>
      <c r="X21" s="43" t="n">
        <f aca="false">MROUND(SUM(X23:X30),1)</f>
        <v>3414</v>
      </c>
      <c r="Y21" s="43" t="n">
        <f aca="false">MROUND(SUM(Y23:Y30),1)</f>
        <v>2189</v>
      </c>
      <c r="Z21" s="43" t="n">
        <f aca="false">MROUND(SUM(Z23:Z30),1)</f>
        <v>2103</v>
      </c>
      <c r="AA21" s="43" t="n">
        <f aca="false">MROUND(SUM(AA23:AA30),1)</f>
        <v>3278</v>
      </c>
      <c r="AB21" s="43" t="n">
        <f aca="false">MROUND(SUM(AB23:AB30),1)</f>
        <v>2103</v>
      </c>
      <c r="AC21" s="43" t="n">
        <f aca="false">MROUND(SUM(AC23:AC30),1)</f>
        <v>2531</v>
      </c>
      <c r="AD21" s="172" t="n">
        <f aca="false">SUM(T21:AC21)</f>
        <v>22697</v>
      </c>
    </row>
    <row r="22" customFormat="false" ht="15" hidden="false" customHeight="false" outlineLevel="0" collapsed="false">
      <c r="A22" s="45" t="s">
        <v>32</v>
      </c>
      <c r="B22" s="45" t="s">
        <v>33</v>
      </c>
      <c r="C22" s="46" t="s">
        <v>34</v>
      </c>
      <c r="D22" s="200" t="s">
        <v>35</v>
      </c>
      <c r="E22" s="48" t="s">
        <v>186</v>
      </c>
      <c r="F22" s="48" t="s">
        <v>187</v>
      </c>
      <c r="G22" s="48" t="s">
        <v>188</v>
      </c>
      <c r="H22" s="48" t="s">
        <v>189</v>
      </c>
      <c r="I22" s="48" t="s">
        <v>190</v>
      </c>
      <c r="J22" s="48" t="s">
        <v>191</v>
      </c>
      <c r="K22" s="48" t="s">
        <v>192</v>
      </c>
      <c r="L22" s="48" t="s">
        <v>193</v>
      </c>
      <c r="M22" s="48" t="s">
        <v>194</v>
      </c>
      <c r="N22" s="48" t="s">
        <v>195</v>
      </c>
      <c r="O22" s="48"/>
      <c r="P22" s="48"/>
      <c r="Q22" s="48"/>
      <c r="R22" s="48"/>
      <c r="S22" s="48"/>
      <c r="T22" s="48" t="n">
        <v>15000</v>
      </c>
      <c r="U22" s="48" t="n">
        <v>30000</v>
      </c>
      <c r="V22" s="48" t="n">
        <v>45000</v>
      </c>
      <c r="W22" s="48" t="n">
        <v>60000</v>
      </c>
      <c r="X22" s="48" t="n">
        <v>75000</v>
      </c>
      <c r="Y22" s="48" t="n">
        <v>90000</v>
      </c>
      <c r="Z22" s="48" t="n">
        <v>105000</v>
      </c>
      <c r="AA22" s="48" t="n">
        <v>120000</v>
      </c>
      <c r="AB22" s="48" t="n">
        <v>135000</v>
      </c>
      <c r="AC22" s="48" t="n">
        <v>150000</v>
      </c>
    </row>
    <row r="23" customFormat="false" ht="15" hidden="false" customHeight="false" outlineLevel="0" collapsed="false">
      <c r="A23" s="52" t="n">
        <v>1</v>
      </c>
      <c r="B23" s="53" t="s">
        <v>96</v>
      </c>
      <c r="C23" s="201" t="s">
        <v>265</v>
      </c>
      <c r="D23" s="55" t="n">
        <f aca="false">VLOOKUP(C23,'[1]PREÇO ATUAL'!$A$1:$D$1048576,4,0)</f>
        <v>182.87</v>
      </c>
      <c r="E23" s="56" t="n">
        <v>1</v>
      </c>
      <c r="F23" s="56" t="n">
        <v>1</v>
      </c>
      <c r="G23" s="56" t="n">
        <v>1</v>
      </c>
      <c r="H23" s="56" t="n">
        <v>1</v>
      </c>
      <c r="I23" s="56" t="n">
        <v>1</v>
      </c>
      <c r="J23" s="56" t="n">
        <v>1</v>
      </c>
      <c r="K23" s="56" t="n">
        <v>1</v>
      </c>
      <c r="L23" s="56" t="n">
        <v>1</v>
      </c>
      <c r="M23" s="56" t="n">
        <v>1</v>
      </c>
      <c r="N23" s="56" t="n">
        <v>1</v>
      </c>
      <c r="O23" s="56"/>
      <c r="P23" s="56"/>
      <c r="Q23" s="56"/>
      <c r="R23" s="56"/>
      <c r="S23" s="56"/>
      <c r="T23" s="58" t="n">
        <f aca="false">$D$23*E23</f>
        <v>182.87</v>
      </c>
      <c r="U23" s="58" t="n">
        <f aca="false">$D$23*F23</f>
        <v>182.87</v>
      </c>
      <c r="V23" s="58" t="n">
        <f aca="false">$D$23*G23</f>
        <v>182.87</v>
      </c>
      <c r="W23" s="58" t="n">
        <f aca="false">$D$23*H23</f>
        <v>182.87</v>
      </c>
      <c r="X23" s="58" t="n">
        <f aca="false">$D$23*I23</f>
        <v>182.87</v>
      </c>
      <c r="Y23" s="58" t="n">
        <f aca="false">$D$23*J23</f>
        <v>182.87</v>
      </c>
      <c r="Z23" s="58" t="n">
        <f aca="false">$D$23*K23</f>
        <v>182.87</v>
      </c>
      <c r="AA23" s="58" t="n">
        <f aca="false">$D$23*L23</f>
        <v>182.87</v>
      </c>
      <c r="AB23" s="58" t="n">
        <f aca="false">$D$23*M23</f>
        <v>182.87</v>
      </c>
      <c r="AC23" s="58" t="n">
        <f aca="false">$D$23*N23</f>
        <v>182.87</v>
      </c>
    </row>
    <row r="24" customFormat="false" ht="15" hidden="false" customHeight="false" outlineLevel="0" collapsed="false">
      <c r="A24" s="60" t="n">
        <v>2</v>
      </c>
      <c r="B24" s="61" t="s">
        <v>98</v>
      </c>
      <c r="C24" s="202" t="s">
        <v>266</v>
      </c>
      <c r="D24" s="63" t="n">
        <f aca="false">VLOOKUP(C24,'[1]PREÇO ATUAL'!$A$1:$D$1048576,4,0)</f>
        <v>489</v>
      </c>
      <c r="E24" s="64" t="n">
        <v>1</v>
      </c>
      <c r="F24" s="64" t="n">
        <v>1</v>
      </c>
      <c r="G24" s="64" t="n">
        <v>1</v>
      </c>
      <c r="H24" s="64" t="n">
        <v>1</v>
      </c>
      <c r="I24" s="64" t="n">
        <v>1</v>
      </c>
      <c r="J24" s="64" t="n">
        <v>1</v>
      </c>
      <c r="K24" s="64" t="n">
        <v>1</v>
      </c>
      <c r="L24" s="64" t="n">
        <v>1</v>
      </c>
      <c r="M24" s="64" t="n">
        <v>1</v>
      </c>
      <c r="N24" s="64" t="n">
        <v>1</v>
      </c>
      <c r="O24" s="64"/>
      <c r="P24" s="64"/>
      <c r="Q24" s="64"/>
      <c r="R24" s="64"/>
      <c r="S24" s="64"/>
      <c r="T24" s="66" t="n">
        <f aca="false">$D$24*E24</f>
        <v>489</v>
      </c>
      <c r="U24" s="66" t="n">
        <f aca="false">$D$24*F24</f>
        <v>489</v>
      </c>
      <c r="V24" s="66" t="n">
        <f aca="false">$D$24*G24</f>
        <v>489</v>
      </c>
      <c r="W24" s="66" t="n">
        <f aca="false">$D$24*H24</f>
        <v>489</v>
      </c>
      <c r="X24" s="66" t="n">
        <f aca="false">$D$24*I24</f>
        <v>489</v>
      </c>
      <c r="Y24" s="66" t="n">
        <f aca="false">$D$24*J24</f>
        <v>489</v>
      </c>
      <c r="Z24" s="66" t="n">
        <f aca="false">$D$24*K24</f>
        <v>489</v>
      </c>
      <c r="AA24" s="66" t="n">
        <f aca="false">$D$24*L24</f>
        <v>489</v>
      </c>
      <c r="AB24" s="66" t="n">
        <f aca="false">$D$24*M24</f>
        <v>489</v>
      </c>
      <c r="AC24" s="66" t="n">
        <f aca="false">$D$24*N24</f>
        <v>489</v>
      </c>
    </row>
    <row r="25" customFormat="false" ht="15" hidden="false" customHeight="false" outlineLevel="0" collapsed="false">
      <c r="A25" s="52" t="n">
        <v>3</v>
      </c>
      <c r="B25" s="53" t="s">
        <v>99</v>
      </c>
      <c r="C25" s="201" t="s">
        <v>248</v>
      </c>
      <c r="D25" s="55" t="n">
        <f aca="false">VLOOKUP(C25,'[1]PREÇO ATUAL'!$A$1:$D$1048576,4,0)</f>
        <v>267.12</v>
      </c>
      <c r="E25" s="56" t="n">
        <v>1</v>
      </c>
      <c r="F25" s="56" t="n">
        <v>1</v>
      </c>
      <c r="G25" s="56" t="n">
        <v>1</v>
      </c>
      <c r="H25" s="56" t="n">
        <v>1</v>
      </c>
      <c r="I25" s="56" t="n">
        <v>1</v>
      </c>
      <c r="J25" s="56" t="n">
        <v>1</v>
      </c>
      <c r="K25" s="56" t="n">
        <v>1</v>
      </c>
      <c r="L25" s="56" t="n">
        <v>1</v>
      </c>
      <c r="M25" s="56" t="n">
        <v>1</v>
      </c>
      <c r="N25" s="56" t="n">
        <v>1</v>
      </c>
      <c r="O25" s="56"/>
      <c r="P25" s="56"/>
      <c r="Q25" s="56"/>
      <c r="R25" s="56"/>
      <c r="S25" s="56"/>
      <c r="T25" s="58" t="n">
        <f aca="false">D25*E25</f>
        <v>267.12</v>
      </c>
      <c r="U25" s="58" t="n">
        <f aca="false">$D$25*F25</f>
        <v>267.12</v>
      </c>
      <c r="V25" s="58" t="n">
        <f aca="false">$D$25*G25</f>
        <v>267.12</v>
      </c>
      <c r="W25" s="58" t="n">
        <f aca="false">$D$25*H25</f>
        <v>267.12</v>
      </c>
      <c r="X25" s="58" t="n">
        <f aca="false">$D$25*I25</f>
        <v>267.12</v>
      </c>
      <c r="Y25" s="58" t="n">
        <f aca="false">$D$25*J25</f>
        <v>267.12</v>
      </c>
      <c r="Z25" s="58" t="n">
        <f aca="false">$D$25*K25</f>
        <v>267.12</v>
      </c>
      <c r="AA25" s="58" t="n">
        <f aca="false">$D$25*L25</f>
        <v>267.12</v>
      </c>
      <c r="AB25" s="58" t="n">
        <f aca="false">$D$25*M25</f>
        <v>267.12</v>
      </c>
      <c r="AC25" s="58" t="n">
        <f aca="false">$D$25*N25</f>
        <v>267.12</v>
      </c>
    </row>
    <row r="26" customFormat="false" ht="15" hidden="false" customHeight="false" outlineLevel="0" collapsed="false">
      <c r="A26" s="60" t="n">
        <v>4</v>
      </c>
      <c r="B26" s="61" t="s">
        <v>267</v>
      </c>
      <c r="C26" s="202" t="s">
        <v>268</v>
      </c>
      <c r="D26" s="63" t="n">
        <f aca="false">VLOOKUP(C26,'[1]PREÇO ATUAL'!$A$1:$D$1048576,4,0)</f>
        <v>220.39</v>
      </c>
      <c r="E26" s="64"/>
      <c r="F26" s="64"/>
      <c r="G26" s="64"/>
      <c r="H26" s="64"/>
      <c r="I26" s="64" t="n">
        <v>1</v>
      </c>
      <c r="J26" s="64"/>
      <c r="K26" s="64"/>
      <c r="L26" s="203" t="n">
        <v>1</v>
      </c>
      <c r="M26" s="203"/>
      <c r="N26" s="203"/>
      <c r="O26" s="203"/>
      <c r="P26" s="203"/>
      <c r="Q26" s="203"/>
      <c r="R26" s="203"/>
      <c r="S26" s="203"/>
      <c r="T26" s="66" t="n">
        <f aca="false">D26*E26</f>
        <v>0</v>
      </c>
      <c r="U26" s="66" t="n">
        <f aca="false">$D$26*F26</f>
        <v>0</v>
      </c>
      <c r="V26" s="66" t="n">
        <f aca="false">$D$26*G26</f>
        <v>0</v>
      </c>
      <c r="W26" s="66" t="n">
        <f aca="false">$D$26*H26</f>
        <v>0</v>
      </c>
      <c r="X26" s="66" t="n">
        <f aca="false">$D$26*I26</f>
        <v>220.39</v>
      </c>
      <c r="Y26" s="66" t="n">
        <f aca="false">$D$26*J26</f>
        <v>0</v>
      </c>
      <c r="Z26" s="66" t="n">
        <f aca="false">$D$26*K26</f>
        <v>0</v>
      </c>
      <c r="AA26" s="66" t="n">
        <f aca="false">$D$26*L26</f>
        <v>220.39</v>
      </c>
      <c r="AB26" s="66" t="n">
        <f aca="false">$D$26*M26</f>
        <v>0</v>
      </c>
      <c r="AC26" s="66" t="n">
        <f aca="false">$D$26*N26</f>
        <v>0</v>
      </c>
    </row>
    <row r="27" customFormat="false" ht="15" hidden="false" customHeight="false" outlineLevel="0" collapsed="false">
      <c r="A27" s="52" t="n">
        <v>5</v>
      </c>
      <c r="B27" s="53" t="s">
        <v>269</v>
      </c>
      <c r="C27" s="201" t="s">
        <v>270</v>
      </c>
      <c r="D27" s="55" t="n">
        <f aca="false">VLOOKUP(C27,'[1]PREÇO ATUAL'!$A$1:$D$1048576,4,0)</f>
        <v>663.26</v>
      </c>
      <c r="E27" s="56"/>
      <c r="F27" s="56"/>
      <c r="G27" s="56"/>
      <c r="H27" s="56"/>
      <c r="I27" s="56" t="n">
        <v>1</v>
      </c>
      <c r="J27" s="56"/>
      <c r="K27" s="56"/>
      <c r="L27" s="204" t="n">
        <v>1</v>
      </c>
      <c r="M27" s="204"/>
      <c r="N27" s="204"/>
      <c r="O27" s="204"/>
      <c r="P27" s="204"/>
      <c r="Q27" s="204"/>
      <c r="R27" s="204"/>
      <c r="S27" s="204"/>
      <c r="T27" s="58" t="n">
        <f aca="false">D27*E27</f>
        <v>0</v>
      </c>
      <c r="U27" s="58" t="n">
        <f aca="false">$D$27*F27</f>
        <v>0</v>
      </c>
      <c r="V27" s="58" t="n">
        <f aca="false">$D$27*G27</f>
        <v>0</v>
      </c>
      <c r="W27" s="58" t="n">
        <f aca="false">$D$27*H27</f>
        <v>0</v>
      </c>
      <c r="X27" s="58" t="n">
        <f aca="false">$D$27*I27</f>
        <v>663.26</v>
      </c>
      <c r="Y27" s="58" t="n">
        <f aca="false">$D$27*J27</f>
        <v>0</v>
      </c>
      <c r="Z27" s="58" t="n">
        <f aca="false">$D$27*K27</f>
        <v>0</v>
      </c>
      <c r="AA27" s="58" t="n">
        <f aca="false">$D$27*L27</f>
        <v>663.26</v>
      </c>
      <c r="AB27" s="58" t="n">
        <f aca="false">$D$27*M27</f>
        <v>0</v>
      </c>
      <c r="AC27" s="58" t="n">
        <f aca="false">$D$27*N27</f>
        <v>0</v>
      </c>
    </row>
    <row r="28" customFormat="false" ht="15" hidden="false" customHeight="false" outlineLevel="0" collapsed="false">
      <c r="A28" s="60" t="n">
        <v>6</v>
      </c>
      <c r="B28" s="61" t="s">
        <v>179</v>
      </c>
      <c r="C28" s="202" t="s">
        <v>180</v>
      </c>
      <c r="D28" s="63" t="n">
        <f aca="false">VLOOKUP(C28,'[1]PREÇO ATUAL'!$A$1:$D$1048576,4,0)</f>
        <v>45.09</v>
      </c>
      <c r="E28" s="117"/>
      <c r="F28" s="117"/>
      <c r="G28" s="117"/>
      <c r="H28" s="64"/>
      <c r="I28" s="117"/>
      <c r="J28" s="117"/>
      <c r="K28" s="64"/>
      <c r="L28" s="203"/>
      <c r="M28" s="203"/>
      <c r="N28" s="203"/>
      <c r="O28" s="203"/>
      <c r="P28" s="203"/>
      <c r="Q28" s="203"/>
      <c r="R28" s="203"/>
      <c r="S28" s="203"/>
      <c r="T28" s="66" t="n">
        <f aca="false">D28*E28</f>
        <v>0</v>
      </c>
      <c r="U28" s="66" t="n">
        <f aca="false">$D$28*F28</f>
        <v>0</v>
      </c>
      <c r="V28" s="66" t="n">
        <f aca="false">$D$28*G28</f>
        <v>0</v>
      </c>
      <c r="W28" s="66" t="n">
        <f aca="false">$D$28*H28</f>
        <v>0</v>
      </c>
      <c r="X28" s="66" t="n">
        <f aca="false">$D$28*I28</f>
        <v>0</v>
      </c>
      <c r="Y28" s="66" t="n">
        <f aca="false">$D$28*J28</f>
        <v>0</v>
      </c>
      <c r="Z28" s="66" t="n">
        <f aca="false">$D$28*K28</f>
        <v>0</v>
      </c>
      <c r="AA28" s="66" t="n">
        <f aca="false">$D$28*L28</f>
        <v>0</v>
      </c>
      <c r="AB28" s="66" t="n">
        <f aca="false">$D$28*M28</f>
        <v>0</v>
      </c>
      <c r="AC28" s="66" t="n">
        <f aca="false">$D$28*N28</f>
        <v>0</v>
      </c>
    </row>
    <row r="29" customFormat="false" ht="15" hidden="false" customHeight="false" outlineLevel="0" collapsed="false">
      <c r="A29" s="52" t="n">
        <v>7</v>
      </c>
      <c r="B29" s="53" t="s">
        <v>271</v>
      </c>
      <c r="C29" s="201" t="s">
        <v>272</v>
      </c>
      <c r="D29" s="55" t="n">
        <f aca="false">VLOOKUP(C29,'[1]PREÇO ATUAL'!$A$1:$D$1048576,4,0)</f>
        <v>70.4858</v>
      </c>
      <c r="E29" s="104" t="n">
        <v>5.6</v>
      </c>
      <c r="F29" s="104" t="n">
        <v>5.6</v>
      </c>
      <c r="G29" s="104" t="n">
        <v>5.6</v>
      </c>
      <c r="H29" s="104" t="n">
        <v>5.6</v>
      </c>
      <c r="I29" s="104" t="n">
        <v>5.6</v>
      </c>
      <c r="J29" s="104" t="n">
        <v>5.6</v>
      </c>
      <c r="K29" s="104" t="n">
        <v>5.6</v>
      </c>
      <c r="L29" s="205" t="n">
        <v>5.6</v>
      </c>
      <c r="M29" s="205" t="n">
        <v>5.6</v>
      </c>
      <c r="N29" s="205" t="n">
        <v>5.6</v>
      </c>
      <c r="O29" s="205"/>
      <c r="P29" s="205"/>
      <c r="Q29" s="205"/>
      <c r="R29" s="205"/>
      <c r="S29" s="205"/>
      <c r="T29" s="58" t="n">
        <f aca="false">D29*E29</f>
        <v>394.72048</v>
      </c>
      <c r="U29" s="58" t="n">
        <f aca="false">$D$29*F29</f>
        <v>394.72048</v>
      </c>
      <c r="V29" s="58" t="n">
        <f aca="false">$D$29*G29</f>
        <v>394.72048</v>
      </c>
      <c r="W29" s="58" t="n">
        <f aca="false">$D$29*H29</f>
        <v>394.72048</v>
      </c>
      <c r="X29" s="58" t="n">
        <f aca="false">$D$29*I29</f>
        <v>394.72048</v>
      </c>
      <c r="Y29" s="58" t="n">
        <f aca="false">$D$29*J29</f>
        <v>394.72048</v>
      </c>
      <c r="Z29" s="58" t="n">
        <f aca="false">$D$29*K29</f>
        <v>394.72048</v>
      </c>
      <c r="AA29" s="58" t="n">
        <f aca="false">$D$29*L29</f>
        <v>394.72048</v>
      </c>
      <c r="AB29" s="58" t="n">
        <f aca="false">$D$29*M29</f>
        <v>394.72048</v>
      </c>
      <c r="AC29" s="58" t="n">
        <f aca="false">$D$29*N29</f>
        <v>394.72048</v>
      </c>
    </row>
    <row r="30" customFormat="false" ht="15" hidden="false" customHeight="false" outlineLevel="0" collapsed="false">
      <c r="A30" s="60" t="n">
        <v>8</v>
      </c>
      <c r="B30" s="61" t="s">
        <v>64</v>
      </c>
      <c r="C30" s="202" t="s">
        <v>65</v>
      </c>
      <c r="D30" s="63" t="n">
        <f aca="false">VLOOKUP(C30,'[1]PREÇO ATUAL'!$A$1:$D$1048576,4,0)</f>
        <v>342</v>
      </c>
      <c r="E30" s="70" t="n">
        <v>0.75</v>
      </c>
      <c r="F30" s="70" t="n">
        <v>0.75</v>
      </c>
      <c r="G30" s="70" t="n">
        <v>2.5</v>
      </c>
      <c r="H30" s="70" t="n">
        <v>1.85</v>
      </c>
      <c r="I30" s="70" t="n">
        <v>3.5</v>
      </c>
      <c r="J30" s="70" t="n">
        <v>2.5</v>
      </c>
      <c r="K30" s="70" t="n">
        <v>2.25</v>
      </c>
      <c r="L30" s="206" t="n">
        <v>3.1</v>
      </c>
      <c r="M30" s="206" t="n">
        <v>2.25</v>
      </c>
      <c r="N30" s="206" t="n">
        <v>3.5</v>
      </c>
      <c r="O30" s="206"/>
      <c r="P30" s="206"/>
      <c r="Q30" s="206"/>
      <c r="R30" s="206"/>
      <c r="S30" s="206"/>
      <c r="T30" s="66" t="n">
        <v>0</v>
      </c>
      <c r="U30" s="66" t="n">
        <f aca="false">$D$30*F30</f>
        <v>256.5</v>
      </c>
      <c r="V30" s="66" t="n">
        <f aca="false">$D$30*G30</f>
        <v>855</v>
      </c>
      <c r="W30" s="66" t="n">
        <f aca="false">$D$30*H30</f>
        <v>632.7</v>
      </c>
      <c r="X30" s="66" t="n">
        <f aca="false">$D$30*I30</f>
        <v>1197</v>
      </c>
      <c r="Y30" s="66" t="n">
        <f aca="false">$D$30*J30</f>
        <v>855</v>
      </c>
      <c r="Z30" s="66" t="n">
        <f aca="false">$D$30*K30</f>
        <v>769.5</v>
      </c>
      <c r="AA30" s="66" t="n">
        <f aca="false">$D$30*L30</f>
        <v>1060.2</v>
      </c>
      <c r="AB30" s="66" t="n">
        <f aca="false">$D$30*M30</f>
        <v>769.5</v>
      </c>
      <c r="AC30" s="66" t="n">
        <f aca="false">$D$30*N30</f>
        <v>1197</v>
      </c>
    </row>
    <row r="31" customFormat="false" ht="15" hidden="false" customHeight="false" outlineLevel="0" collapsed="false">
      <c r="H31" s="71"/>
      <c r="L31" s="71"/>
    </row>
    <row r="32" customFormat="false" ht="15" hidden="false" customHeight="false" outlineLevel="0" collapsed="false">
      <c r="A32" s="207" t="s">
        <v>273</v>
      </c>
      <c r="B32" s="0" t="s">
        <v>274</v>
      </c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" hidden="false" customHeight="true" outlineLevel="0" collapsed="false">
      <c r="A35" s="198" t="s">
        <v>275</v>
      </c>
      <c r="B35" s="198"/>
      <c r="C35" s="198"/>
      <c r="D35" s="198"/>
      <c r="E35" s="35" t="s">
        <v>29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208" t="s">
        <v>30</v>
      </c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</row>
    <row r="36" customFormat="false" ht="15" hidden="false" customHeight="true" outlineLevel="0" collapsed="false">
      <c r="A36" s="198"/>
      <c r="B36" s="198"/>
      <c r="C36" s="198"/>
      <c r="D36" s="198"/>
      <c r="E36" s="41"/>
      <c r="F36" s="42"/>
      <c r="G36" s="42"/>
      <c r="H36" s="42"/>
      <c r="I36" s="42"/>
      <c r="J36" s="42"/>
      <c r="K36" s="42"/>
      <c r="L36" s="42"/>
      <c r="M36" s="42"/>
      <c r="N36" s="209"/>
      <c r="O36" s="42"/>
      <c r="P36" s="42"/>
      <c r="Q36" s="42"/>
      <c r="R36" s="42"/>
      <c r="S36" s="42"/>
      <c r="T36" s="43" t="n">
        <f aca="false">MROUND(SUM(T38:T45),1)</f>
        <v>1559</v>
      </c>
      <c r="U36" s="43" t="n">
        <f aca="false">MROUND(SUM(U38:U45),1)</f>
        <v>2926</v>
      </c>
      <c r="V36" s="43" t="n">
        <f aca="false">MROUND(SUM(V38:V45),1)</f>
        <v>1985</v>
      </c>
      <c r="W36" s="43" t="n">
        <f aca="false">MROUND(SUM(W38:W45),1)</f>
        <v>2926</v>
      </c>
      <c r="X36" s="43" t="n">
        <f aca="false">MROUND(SUM(X38:X45),1)</f>
        <v>1559</v>
      </c>
      <c r="Y36" s="43" t="n">
        <f aca="false">MROUND(SUM(Y38:Y45),1)</f>
        <v>5321</v>
      </c>
      <c r="Z36" s="43" t="n">
        <f aca="false">MROUND(SUM(Z38:Z45),1)</f>
        <v>1559</v>
      </c>
      <c r="AA36" s="43" t="n">
        <f aca="false">MROUND(SUM(AA38:AA45),1)</f>
        <v>2926</v>
      </c>
      <c r="AB36" s="43" t="n">
        <f aca="false">MROUND(SUM(AB38:AB45),1)</f>
        <v>1985</v>
      </c>
      <c r="AC36" s="43" t="n">
        <f aca="false">MROUND(SUM(AC38:AC45),1)</f>
        <v>2926</v>
      </c>
      <c r="AD36" s="43" t="n">
        <f aca="false">MROUND(SUM(AD38:AD45),1)</f>
        <v>1559</v>
      </c>
      <c r="AE36" s="43" t="n">
        <f aca="false">MROUND(SUM(AE38:AE45),1)</f>
        <v>5321</v>
      </c>
      <c r="AF36" s="43" t="n">
        <f aca="false">MROUND(SUM(AF38:AF45),1)</f>
        <v>1559</v>
      </c>
      <c r="AG36" s="43" t="n">
        <f aca="false">MROUND(SUM(AG38:AG45),1)</f>
        <v>2926</v>
      </c>
      <c r="AH36" s="43" t="n">
        <f aca="false">MROUND(SUM(AH38:AH45),1)</f>
        <v>1985</v>
      </c>
    </row>
    <row r="37" customFormat="false" ht="15" hidden="false" customHeight="false" outlineLevel="0" collapsed="false">
      <c r="A37" s="45" t="s">
        <v>32</v>
      </c>
      <c r="B37" s="45" t="s">
        <v>33</v>
      </c>
      <c r="C37" s="46" t="s">
        <v>34</v>
      </c>
      <c r="D37" s="200" t="s">
        <v>35</v>
      </c>
      <c r="E37" s="48" t="s">
        <v>186</v>
      </c>
      <c r="F37" s="48" t="s">
        <v>187</v>
      </c>
      <c r="G37" s="48" t="s">
        <v>188</v>
      </c>
      <c r="H37" s="48" t="s">
        <v>189</v>
      </c>
      <c r="I37" s="48" t="s">
        <v>190</v>
      </c>
      <c r="J37" s="48" t="s">
        <v>191</v>
      </c>
      <c r="K37" s="48" t="s">
        <v>192</v>
      </c>
      <c r="L37" s="48" t="s">
        <v>193</v>
      </c>
      <c r="M37" s="48" t="s">
        <v>194</v>
      </c>
      <c r="N37" s="48" t="s">
        <v>195</v>
      </c>
      <c r="O37" s="48" t="s">
        <v>276</v>
      </c>
      <c r="P37" s="48" t="s">
        <v>277</v>
      </c>
      <c r="Q37" s="48" t="s">
        <v>278</v>
      </c>
      <c r="R37" s="48" t="s">
        <v>279</v>
      </c>
      <c r="S37" s="48" t="s">
        <v>280</v>
      </c>
      <c r="T37" s="48" t="n">
        <v>20000</v>
      </c>
      <c r="U37" s="48" t="n">
        <v>40000</v>
      </c>
      <c r="V37" s="48" t="n">
        <v>60000</v>
      </c>
      <c r="W37" s="48" t="n">
        <v>80000</v>
      </c>
      <c r="X37" s="48" t="n">
        <v>100000</v>
      </c>
      <c r="Y37" s="48" t="n">
        <v>120000</v>
      </c>
      <c r="Z37" s="48" t="n">
        <v>140000</v>
      </c>
      <c r="AA37" s="48" t="n">
        <v>1600000</v>
      </c>
      <c r="AB37" s="48" t="n">
        <v>180000</v>
      </c>
      <c r="AC37" s="48" t="n">
        <v>200000</v>
      </c>
      <c r="AD37" s="48" t="n">
        <f aca="false">AC37+20000</f>
        <v>220000</v>
      </c>
      <c r="AE37" s="48" t="n">
        <f aca="false">AD37+20000</f>
        <v>240000</v>
      </c>
      <c r="AF37" s="48" t="n">
        <f aca="false">AE37+20000</f>
        <v>260000</v>
      </c>
      <c r="AG37" s="48" t="n">
        <f aca="false">AF37+20000</f>
        <v>280000</v>
      </c>
      <c r="AH37" s="48" t="n">
        <f aca="false">AG37+20000</f>
        <v>300000</v>
      </c>
    </row>
    <row r="38" customFormat="false" ht="15" hidden="false" customHeight="false" outlineLevel="0" collapsed="false">
      <c r="A38" s="52" t="n">
        <v>1</v>
      </c>
      <c r="B38" s="53" t="s">
        <v>67</v>
      </c>
      <c r="C38" s="201" t="s">
        <v>226</v>
      </c>
      <c r="D38" s="55" t="n">
        <f aca="false">VLOOKUP(C38,'[1]PREÇO ATUAL'!$A$1:$D$1048576,4,0)</f>
        <v>110.2</v>
      </c>
      <c r="E38" s="56" t="n">
        <v>1</v>
      </c>
      <c r="F38" s="56" t="n">
        <v>1</v>
      </c>
      <c r="G38" s="56" t="n">
        <v>1</v>
      </c>
      <c r="H38" s="56" t="n">
        <v>1</v>
      </c>
      <c r="I38" s="56" t="n">
        <v>1</v>
      </c>
      <c r="J38" s="56" t="n">
        <v>1</v>
      </c>
      <c r="K38" s="56" t="n">
        <v>1</v>
      </c>
      <c r="L38" s="56" t="n">
        <v>1</v>
      </c>
      <c r="M38" s="56" t="n">
        <v>1</v>
      </c>
      <c r="N38" s="56" t="n">
        <v>1</v>
      </c>
      <c r="O38" s="56" t="n">
        <v>1</v>
      </c>
      <c r="P38" s="56" t="n">
        <v>1</v>
      </c>
      <c r="Q38" s="56" t="n">
        <v>1</v>
      </c>
      <c r="R38" s="56" t="n">
        <v>1</v>
      </c>
      <c r="S38" s="56" t="n">
        <v>1</v>
      </c>
      <c r="T38" s="58" t="n">
        <f aca="false">$D38*E38</f>
        <v>110.2</v>
      </c>
      <c r="U38" s="58" t="n">
        <f aca="false">$D38*F38</f>
        <v>110.2</v>
      </c>
      <c r="V38" s="58" t="n">
        <f aca="false">$D38*G38</f>
        <v>110.2</v>
      </c>
      <c r="W38" s="58" t="n">
        <f aca="false">$D38*H38</f>
        <v>110.2</v>
      </c>
      <c r="X38" s="58" t="n">
        <f aca="false">$D38*I38</f>
        <v>110.2</v>
      </c>
      <c r="Y38" s="58" t="n">
        <f aca="false">$D38*J38</f>
        <v>110.2</v>
      </c>
      <c r="Z38" s="58" t="n">
        <f aca="false">$D38*K38</f>
        <v>110.2</v>
      </c>
      <c r="AA38" s="58" t="n">
        <f aca="false">$D38*L38</f>
        <v>110.2</v>
      </c>
      <c r="AB38" s="58" t="n">
        <f aca="false">$D38*M38</f>
        <v>110.2</v>
      </c>
      <c r="AC38" s="58" t="n">
        <f aca="false">$D38*N38</f>
        <v>110.2</v>
      </c>
      <c r="AD38" s="58" t="n">
        <f aca="false">$D38*O38</f>
        <v>110.2</v>
      </c>
      <c r="AE38" s="58" t="n">
        <f aca="false">$D38*P38</f>
        <v>110.2</v>
      </c>
      <c r="AF38" s="58" t="n">
        <f aca="false">$D38*Q38</f>
        <v>110.2</v>
      </c>
      <c r="AG38" s="58" t="n">
        <f aca="false">$D38*R38</f>
        <v>110.2</v>
      </c>
      <c r="AH38" s="58" t="n">
        <f aca="false">$D38*S38</f>
        <v>110.2</v>
      </c>
    </row>
    <row r="39" customFormat="false" ht="15" hidden="false" customHeight="false" outlineLevel="0" collapsed="false">
      <c r="A39" s="60" t="n">
        <v>2</v>
      </c>
      <c r="B39" s="61" t="s">
        <v>236</v>
      </c>
      <c r="C39" s="202" t="s">
        <v>266</v>
      </c>
      <c r="D39" s="63" t="n">
        <f aca="false">VLOOKUP(C39,'[1]PREÇO ATUAL'!$A$1:$D$1048576,4,0)</f>
        <v>489</v>
      </c>
      <c r="E39" s="64" t="n">
        <v>1</v>
      </c>
      <c r="F39" s="64" t="n">
        <v>1</v>
      </c>
      <c r="G39" s="64" t="n">
        <v>1</v>
      </c>
      <c r="H39" s="64" t="n">
        <v>1</v>
      </c>
      <c r="I39" s="64" t="n">
        <v>1</v>
      </c>
      <c r="J39" s="64" t="n">
        <v>1</v>
      </c>
      <c r="K39" s="64" t="n">
        <v>1</v>
      </c>
      <c r="L39" s="64" t="n">
        <v>1</v>
      </c>
      <c r="M39" s="64" t="n">
        <v>1</v>
      </c>
      <c r="N39" s="64" t="n">
        <v>1</v>
      </c>
      <c r="O39" s="64" t="n">
        <v>1</v>
      </c>
      <c r="P39" s="64" t="n">
        <v>1</v>
      </c>
      <c r="Q39" s="64" t="n">
        <v>1</v>
      </c>
      <c r="R39" s="64" t="n">
        <v>1</v>
      </c>
      <c r="S39" s="64" t="n">
        <v>1</v>
      </c>
      <c r="T39" s="66" t="n">
        <f aca="false">$D39*E39</f>
        <v>489</v>
      </c>
      <c r="U39" s="66" t="n">
        <f aca="false">$D39*F39</f>
        <v>489</v>
      </c>
      <c r="V39" s="66" t="n">
        <f aca="false">$D39*G39</f>
        <v>489</v>
      </c>
      <c r="W39" s="66" t="n">
        <f aca="false">$D39*H39</f>
        <v>489</v>
      </c>
      <c r="X39" s="66" t="n">
        <f aca="false">$D39*I39</f>
        <v>489</v>
      </c>
      <c r="Y39" s="66" t="n">
        <f aca="false">$D39*J39</f>
        <v>489</v>
      </c>
      <c r="Z39" s="66" t="n">
        <f aca="false">$D39*K39</f>
        <v>489</v>
      </c>
      <c r="AA39" s="66" t="n">
        <f aca="false">$D39*L39</f>
        <v>489</v>
      </c>
      <c r="AB39" s="66" t="n">
        <f aca="false">$D39*M39</f>
        <v>489</v>
      </c>
      <c r="AC39" s="66" t="n">
        <f aca="false">$D39*N39</f>
        <v>489</v>
      </c>
      <c r="AD39" s="66" t="n">
        <f aca="false">$D39*O39</f>
        <v>489</v>
      </c>
      <c r="AE39" s="66" t="n">
        <f aca="false">$D39*P39</f>
        <v>489</v>
      </c>
      <c r="AF39" s="66" t="n">
        <f aca="false">$D39*Q39</f>
        <v>489</v>
      </c>
      <c r="AG39" s="66" t="n">
        <f aca="false">$D39*R39</f>
        <v>489</v>
      </c>
      <c r="AH39" s="66" t="n">
        <f aca="false">$D39*S39</f>
        <v>489</v>
      </c>
    </row>
    <row r="40" customFormat="false" ht="15" hidden="false" customHeight="false" outlineLevel="0" collapsed="false">
      <c r="A40" s="52" t="n">
        <v>3</v>
      </c>
      <c r="B40" s="53" t="s">
        <v>281</v>
      </c>
      <c r="C40" s="201" t="s">
        <v>282</v>
      </c>
      <c r="D40" s="85" t="n">
        <f aca="false">VLOOKUP(C40,'[1]PREÇO ATUAL'!$A$1:$D$1048576,4,0)</f>
        <v>668.44</v>
      </c>
      <c r="E40" s="56"/>
      <c r="F40" s="56" t="n">
        <v>1</v>
      </c>
      <c r="G40" s="56"/>
      <c r="H40" s="56" t="n">
        <v>1</v>
      </c>
      <c r="I40" s="56"/>
      <c r="J40" s="56" t="n">
        <v>1</v>
      </c>
      <c r="K40" s="56"/>
      <c r="L40" s="56" t="n">
        <v>1</v>
      </c>
      <c r="M40" s="56"/>
      <c r="N40" s="56" t="n">
        <v>1</v>
      </c>
      <c r="O40" s="56"/>
      <c r="P40" s="56" t="n">
        <v>1</v>
      </c>
      <c r="Q40" s="56"/>
      <c r="R40" s="56" t="n">
        <v>1</v>
      </c>
      <c r="S40" s="56"/>
      <c r="T40" s="58" t="n">
        <f aca="false">$D40*E40</f>
        <v>0</v>
      </c>
      <c r="U40" s="58" t="n">
        <f aca="false">$D40*F40</f>
        <v>668.44</v>
      </c>
      <c r="V40" s="58" t="n">
        <f aca="false">$D40*G40</f>
        <v>0</v>
      </c>
      <c r="W40" s="58" t="n">
        <f aca="false">$D40*H40</f>
        <v>668.44</v>
      </c>
      <c r="X40" s="58" t="n">
        <f aca="false">$D40*I40</f>
        <v>0</v>
      </c>
      <c r="Y40" s="58" t="n">
        <f aca="false">$D40*J40</f>
        <v>668.44</v>
      </c>
      <c r="Z40" s="58" t="n">
        <f aca="false">$D40*K40</f>
        <v>0</v>
      </c>
      <c r="AA40" s="58" t="n">
        <f aca="false">$D40*L40</f>
        <v>668.44</v>
      </c>
      <c r="AB40" s="58" t="n">
        <f aca="false">$D40*M40</f>
        <v>0</v>
      </c>
      <c r="AC40" s="58" t="n">
        <f aca="false">$D40*N40</f>
        <v>668.44</v>
      </c>
      <c r="AD40" s="58" t="n">
        <f aca="false">$D40*O40</f>
        <v>0</v>
      </c>
      <c r="AE40" s="58" t="n">
        <f aca="false">$D40*P40</f>
        <v>668.44</v>
      </c>
      <c r="AF40" s="58" t="n">
        <f aca="false">$D40*Q40</f>
        <v>0</v>
      </c>
      <c r="AG40" s="58" t="n">
        <f aca="false">$D40*R40</f>
        <v>668.44</v>
      </c>
      <c r="AH40" s="58" t="n">
        <f aca="false">$D40*S40</f>
        <v>0</v>
      </c>
    </row>
    <row r="41" customFormat="false" ht="23.25" hidden="false" customHeight="false" outlineLevel="0" collapsed="false">
      <c r="A41" s="60" t="n">
        <v>4</v>
      </c>
      <c r="B41" s="73" t="s">
        <v>154</v>
      </c>
      <c r="C41" s="202" t="s">
        <v>283</v>
      </c>
      <c r="D41" s="63" t="n">
        <f aca="false">VLOOKUP(C41,'[1]PREÇO ATUAL'!$A$1:$D$1048576,4,0)</f>
        <v>289</v>
      </c>
      <c r="E41" s="64"/>
      <c r="F41" s="64"/>
      <c r="G41" s="64" t="n">
        <v>1</v>
      </c>
      <c r="H41" s="64"/>
      <c r="I41" s="64"/>
      <c r="J41" s="64" t="n">
        <v>1</v>
      </c>
      <c r="K41" s="64"/>
      <c r="L41" s="203"/>
      <c r="M41" s="203" t="n">
        <v>1</v>
      </c>
      <c r="N41" s="203"/>
      <c r="O41" s="203"/>
      <c r="P41" s="203" t="n">
        <v>1</v>
      </c>
      <c r="Q41" s="203"/>
      <c r="R41" s="203"/>
      <c r="S41" s="203" t="n">
        <v>1</v>
      </c>
      <c r="T41" s="66" t="n">
        <f aca="false">$D41*E41</f>
        <v>0</v>
      </c>
      <c r="U41" s="66" t="n">
        <f aca="false">$D41*F41</f>
        <v>0</v>
      </c>
      <c r="V41" s="66" t="n">
        <f aca="false">$D41*G41</f>
        <v>289</v>
      </c>
      <c r="W41" s="66" t="n">
        <f aca="false">$D41*H41</f>
        <v>0</v>
      </c>
      <c r="X41" s="66" t="n">
        <f aca="false">$D41*I41</f>
        <v>0</v>
      </c>
      <c r="Y41" s="66" t="n">
        <f aca="false">$D41*J41</f>
        <v>289</v>
      </c>
      <c r="Z41" s="66" t="n">
        <f aca="false">$D41*K41</f>
        <v>0</v>
      </c>
      <c r="AA41" s="66" t="n">
        <f aca="false">$D41*L41</f>
        <v>0</v>
      </c>
      <c r="AB41" s="66" t="n">
        <f aca="false">$D41*M41</f>
        <v>289</v>
      </c>
      <c r="AC41" s="66" t="n">
        <f aca="false">$D41*N41</f>
        <v>0</v>
      </c>
      <c r="AD41" s="66" t="n">
        <f aca="false">$D41*O41</f>
        <v>0</v>
      </c>
      <c r="AE41" s="66" t="n">
        <f aca="false">$D41*P41</f>
        <v>289</v>
      </c>
      <c r="AF41" s="66" t="n">
        <f aca="false">$D41*Q41</f>
        <v>0</v>
      </c>
      <c r="AG41" s="66" t="n">
        <f aca="false">$D41*R41</f>
        <v>0</v>
      </c>
      <c r="AH41" s="66" t="n">
        <f aca="false">$D41*S41</f>
        <v>289</v>
      </c>
    </row>
    <row r="42" customFormat="false" ht="23.25" hidden="false" customHeight="false" outlineLevel="0" collapsed="false">
      <c r="A42" s="52" t="n">
        <v>5</v>
      </c>
      <c r="B42" s="72" t="s">
        <v>284</v>
      </c>
      <c r="C42" s="201" t="s">
        <v>232</v>
      </c>
      <c r="D42" s="55" t="n">
        <f aca="false">VLOOKUP(C42,'[1]PREÇO ATUAL'!$A$1:$D$1048576,4,0)</f>
        <v>567.55</v>
      </c>
      <c r="E42" s="56"/>
      <c r="F42" s="56"/>
      <c r="G42" s="56"/>
      <c r="H42" s="56"/>
      <c r="I42" s="56"/>
      <c r="J42" s="56" t="n">
        <v>1</v>
      </c>
      <c r="K42" s="56"/>
      <c r="L42" s="204"/>
      <c r="M42" s="204"/>
      <c r="N42" s="204"/>
      <c r="O42" s="204"/>
      <c r="P42" s="204" t="n">
        <v>1</v>
      </c>
      <c r="Q42" s="204"/>
      <c r="R42" s="204"/>
      <c r="S42" s="204"/>
      <c r="T42" s="58" t="n">
        <f aca="false">$D42*E42</f>
        <v>0</v>
      </c>
      <c r="U42" s="58" t="n">
        <f aca="false">$D42*F42</f>
        <v>0</v>
      </c>
      <c r="V42" s="58" t="n">
        <f aca="false">$D42*G42</f>
        <v>0</v>
      </c>
      <c r="W42" s="58" t="n">
        <f aca="false">$D42*H42</f>
        <v>0</v>
      </c>
      <c r="X42" s="58" t="n">
        <f aca="false">$D42*I42</f>
        <v>0</v>
      </c>
      <c r="Y42" s="58" t="n">
        <f aca="false">$D42*J42</f>
        <v>567.55</v>
      </c>
      <c r="Z42" s="58" t="n">
        <f aca="false">$D42*K42</f>
        <v>0</v>
      </c>
      <c r="AA42" s="58" t="n">
        <f aca="false">$D42*L42</f>
        <v>0</v>
      </c>
      <c r="AB42" s="58" t="n">
        <f aca="false">$D42*M42</f>
        <v>0</v>
      </c>
      <c r="AC42" s="58" t="n">
        <f aca="false">$D42*N42</f>
        <v>0</v>
      </c>
      <c r="AD42" s="58" t="n">
        <f aca="false">$D42*O42</f>
        <v>0</v>
      </c>
      <c r="AE42" s="58" t="n">
        <f aca="false">$D42*P42</f>
        <v>567.55</v>
      </c>
      <c r="AF42" s="58" t="n">
        <f aca="false">$D42*Q42</f>
        <v>0</v>
      </c>
      <c r="AG42" s="58" t="n">
        <f aca="false">$D42*R42</f>
        <v>0</v>
      </c>
      <c r="AH42" s="58" t="n">
        <f aca="false">$D42*S42</f>
        <v>0</v>
      </c>
    </row>
    <row r="43" customFormat="false" ht="15" hidden="false" customHeight="false" outlineLevel="0" collapsed="false">
      <c r="A43" s="60" t="n">
        <v>6</v>
      </c>
      <c r="B43" s="73" t="s">
        <v>285</v>
      </c>
      <c r="C43" s="202" t="s">
        <v>286</v>
      </c>
      <c r="D43" s="63" t="n">
        <f aca="false">VLOOKUP(C43,'[1]PREÇO ATUAL'!$A$1:$D$1048576,4,0)</f>
        <v>580.293252</v>
      </c>
      <c r="E43" s="117"/>
      <c r="F43" s="82" t="n">
        <v>0.85</v>
      </c>
      <c r="G43" s="64"/>
      <c r="H43" s="82" t="n">
        <v>0.85</v>
      </c>
      <c r="I43" s="64"/>
      <c r="J43" s="82" t="n">
        <v>0.85</v>
      </c>
      <c r="K43" s="64"/>
      <c r="L43" s="82" t="n">
        <v>0.85</v>
      </c>
      <c r="M43" s="203"/>
      <c r="N43" s="82" t="n">
        <v>0.85</v>
      </c>
      <c r="O43" s="82"/>
      <c r="P43" s="82" t="n">
        <v>0.85</v>
      </c>
      <c r="Q43" s="82"/>
      <c r="R43" s="82" t="n">
        <v>0.85</v>
      </c>
      <c r="S43" s="82"/>
      <c r="T43" s="66" t="n">
        <f aca="false">$D43*E43</f>
        <v>0</v>
      </c>
      <c r="U43" s="66" t="n">
        <f aca="false">$D43*F43</f>
        <v>493.2492642</v>
      </c>
      <c r="V43" s="66" t="n">
        <f aca="false">$D43*G43</f>
        <v>0</v>
      </c>
      <c r="W43" s="66" t="n">
        <f aca="false">$D43*H43</f>
        <v>493.2492642</v>
      </c>
      <c r="X43" s="66" t="n">
        <f aca="false">$D43*I43</f>
        <v>0</v>
      </c>
      <c r="Y43" s="66" t="n">
        <f aca="false">$D43*J43</f>
        <v>493.2492642</v>
      </c>
      <c r="Z43" s="66" t="n">
        <f aca="false">$D43*K43</f>
        <v>0</v>
      </c>
      <c r="AA43" s="66" t="n">
        <f aca="false">$D43*L43</f>
        <v>493.2492642</v>
      </c>
      <c r="AB43" s="66" t="n">
        <f aca="false">$D43*M43</f>
        <v>0</v>
      </c>
      <c r="AC43" s="66" t="n">
        <f aca="false">$D43*N43</f>
        <v>493.2492642</v>
      </c>
      <c r="AD43" s="66" t="n">
        <f aca="false">$D43*O43</f>
        <v>0</v>
      </c>
      <c r="AE43" s="66" t="n">
        <f aca="false">$D43*P43</f>
        <v>493.2492642</v>
      </c>
      <c r="AF43" s="66" t="n">
        <f aca="false">$D43*Q43</f>
        <v>0</v>
      </c>
      <c r="AG43" s="66" t="n">
        <f aca="false">$D43*R43</f>
        <v>493.2492642</v>
      </c>
      <c r="AH43" s="66" t="n">
        <f aca="false">$D43*S43</f>
        <v>0</v>
      </c>
    </row>
    <row r="44" customFormat="false" ht="15" hidden="false" customHeight="false" outlineLevel="0" collapsed="false">
      <c r="A44" s="52" t="n">
        <v>7</v>
      </c>
      <c r="B44" s="53" t="s">
        <v>287</v>
      </c>
      <c r="C44" s="201" t="s">
        <v>223</v>
      </c>
      <c r="D44" s="55" t="n">
        <f aca="false">VLOOKUP(C44,'[1]PREÇO ATUAL'!$A$1:$D$1048576,4,0)</f>
        <v>91.54</v>
      </c>
      <c r="E44" s="104" t="n">
        <v>6</v>
      </c>
      <c r="F44" s="104" t="n">
        <v>6</v>
      </c>
      <c r="G44" s="104" t="n">
        <v>6</v>
      </c>
      <c r="H44" s="104" t="n">
        <v>6</v>
      </c>
      <c r="I44" s="104" t="n">
        <v>6</v>
      </c>
      <c r="J44" s="104" t="n">
        <v>6</v>
      </c>
      <c r="K44" s="104" t="n">
        <v>6</v>
      </c>
      <c r="L44" s="104" t="n">
        <v>6</v>
      </c>
      <c r="M44" s="104" t="n">
        <v>6</v>
      </c>
      <c r="N44" s="104" t="n">
        <v>6</v>
      </c>
      <c r="O44" s="104" t="n">
        <v>6</v>
      </c>
      <c r="P44" s="104" t="n">
        <v>6</v>
      </c>
      <c r="Q44" s="104" t="n">
        <v>6</v>
      </c>
      <c r="R44" s="104" t="n">
        <v>6</v>
      </c>
      <c r="S44" s="104" t="n">
        <v>6</v>
      </c>
      <c r="T44" s="58" t="n">
        <f aca="false">$D44*E44</f>
        <v>549.24</v>
      </c>
      <c r="U44" s="58" t="n">
        <f aca="false">$D44*F44</f>
        <v>549.24</v>
      </c>
      <c r="V44" s="58" t="n">
        <f aca="false">$D44*G44</f>
        <v>549.24</v>
      </c>
      <c r="W44" s="58" t="n">
        <f aca="false">$D44*H44</f>
        <v>549.24</v>
      </c>
      <c r="X44" s="58" t="n">
        <f aca="false">$D44*I44</f>
        <v>549.24</v>
      </c>
      <c r="Y44" s="58" t="n">
        <f aca="false">$D44*J44</f>
        <v>549.24</v>
      </c>
      <c r="Z44" s="58" t="n">
        <f aca="false">$D44*K44</f>
        <v>549.24</v>
      </c>
      <c r="AA44" s="58" t="n">
        <f aca="false">$D44*L44</f>
        <v>549.24</v>
      </c>
      <c r="AB44" s="58" t="n">
        <f aca="false">$D44*M44</f>
        <v>549.24</v>
      </c>
      <c r="AC44" s="58" t="n">
        <f aca="false">$D44*N44</f>
        <v>549.24</v>
      </c>
      <c r="AD44" s="58" t="n">
        <f aca="false">$D44*O44</f>
        <v>549.24</v>
      </c>
      <c r="AE44" s="58" t="n">
        <f aca="false">$D44*P44</f>
        <v>549.24</v>
      </c>
      <c r="AF44" s="58" t="n">
        <f aca="false">$D44*Q44</f>
        <v>549.24</v>
      </c>
      <c r="AG44" s="58" t="n">
        <f aca="false">$D44*R44</f>
        <v>549.24</v>
      </c>
      <c r="AH44" s="58" t="n">
        <f aca="false">$D44*S44</f>
        <v>549.24</v>
      </c>
    </row>
    <row r="45" customFormat="false" ht="15" hidden="false" customHeight="false" outlineLevel="0" collapsed="false">
      <c r="A45" s="60" t="n">
        <v>8</v>
      </c>
      <c r="B45" s="61" t="s">
        <v>64</v>
      </c>
      <c r="C45" s="202" t="s">
        <v>65</v>
      </c>
      <c r="D45" s="63" t="n">
        <v>342</v>
      </c>
      <c r="E45" s="70" t="n">
        <v>1.2</v>
      </c>
      <c r="F45" s="70" t="n">
        <v>1.8</v>
      </c>
      <c r="G45" s="70" t="n">
        <v>1.6</v>
      </c>
      <c r="H45" s="70" t="n">
        <v>1.8</v>
      </c>
      <c r="I45" s="70" t="n">
        <v>1.2</v>
      </c>
      <c r="J45" s="70" t="n">
        <v>6.3</v>
      </c>
      <c r="K45" s="70" t="n">
        <v>1.2</v>
      </c>
      <c r="L45" s="206" t="n">
        <v>1.8</v>
      </c>
      <c r="M45" s="206" t="n">
        <v>1.6</v>
      </c>
      <c r="N45" s="206" t="n">
        <v>1.8</v>
      </c>
      <c r="O45" s="206" t="n">
        <v>1.2</v>
      </c>
      <c r="P45" s="206" t="n">
        <v>6.3</v>
      </c>
      <c r="Q45" s="206" t="n">
        <v>1.2</v>
      </c>
      <c r="R45" s="206" t="n">
        <v>1.8</v>
      </c>
      <c r="S45" s="206" t="n">
        <v>1.6</v>
      </c>
      <c r="T45" s="66" t="n">
        <f aca="false">$D45*E45</f>
        <v>410.4</v>
      </c>
      <c r="U45" s="66" t="n">
        <f aca="false">$D45*F45</f>
        <v>615.6</v>
      </c>
      <c r="V45" s="66" t="n">
        <f aca="false">$D45*G45</f>
        <v>547.2</v>
      </c>
      <c r="W45" s="66" t="n">
        <f aca="false">$D45*H45</f>
        <v>615.6</v>
      </c>
      <c r="X45" s="66" t="n">
        <f aca="false">$D45*I45</f>
        <v>410.4</v>
      </c>
      <c r="Y45" s="66" t="n">
        <f aca="false">$D45*J45</f>
        <v>2154.6</v>
      </c>
      <c r="Z45" s="66" t="n">
        <f aca="false">$D45*K45</f>
        <v>410.4</v>
      </c>
      <c r="AA45" s="66" t="n">
        <f aca="false">$D45*L45</f>
        <v>615.6</v>
      </c>
      <c r="AB45" s="66" t="n">
        <f aca="false">$D45*M45</f>
        <v>547.2</v>
      </c>
      <c r="AC45" s="66" t="n">
        <f aca="false">$D45*N45</f>
        <v>615.6</v>
      </c>
      <c r="AD45" s="66" t="n">
        <f aca="false">$D45*O45</f>
        <v>410.4</v>
      </c>
      <c r="AE45" s="66" t="n">
        <f aca="false">$D45*P45</f>
        <v>2154.6</v>
      </c>
      <c r="AF45" s="66" t="n">
        <f aca="false">$D45*Q45</f>
        <v>410.4</v>
      </c>
      <c r="AG45" s="66" t="n">
        <f aca="false">$D45*R45</f>
        <v>615.6</v>
      </c>
      <c r="AH45" s="66" t="n">
        <f aca="false">$D45*S45</f>
        <v>547.2</v>
      </c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>
      <c r="C49" s="210"/>
      <c r="D49" s="210"/>
    </row>
    <row r="51" customFormat="false" ht="30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</sheetData>
  <mergeCells count="9">
    <mergeCell ref="A1:D2"/>
    <mergeCell ref="E1:S2"/>
    <mergeCell ref="T1:AC1"/>
    <mergeCell ref="A20:D21"/>
    <mergeCell ref="E20:S21"/>
    <mergeCell ref="T20:AC20"/>
    <mergeCell ref="A35:D36"/>
    <mergeCell ref="E35:S35"/>
    <mergeCell ref="T35:AH3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M1011"/>
  <sheetViews>
    <sheetView showFormulas="false" showGridLines="false" showRowColHeaders="true" showZeros="true" rightToLeft="false" tabSelected="true" showOutlineSymbols="true" defaultGridColor="true" view="normal" topLeftCell="A9" colorId="64" zoomScale="100" zoomScaleNormal="100" zoomScalePageLayoutView="100" workbookViewId="0">
      <pane xSplit="4" ySplit="0" topLeftCell="E9" activePane="topRight" state="frozen"/>
      <selection pane="topLeft" activeCell="A9" activeCellId="0" sqref="A9"/>
      <selection pane="topRight" activeCell="E29" activeCellId="0" sqref="E29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4.86"/>
    <col collapsed="false" customWidth="true" hidden="false" outlineLevel="0" max="2" min="2" style="0" width="52.71"/>
    <col collapsed="false" customWidth="true" hidden="false" outlineLevel="0" max="3" min="3" style="0" width="16"/>
    <col collapsed="false" customWidth="true" hidden="false" outlineLevel="0" max="4" min="4" style="0" width="8.57"/>
    <col collapsed="false" customWidth="true" hidden="false" outlineLevel="0" max="18" min="5" style="0" width="7"/>
    <col collapsed="false" customWidth="true" hidden="false" outlineLevel="0" max="19" min="19" style="0" width="5.43"/>
    <col collapsed="false" customWidth="true" hidden="false" outlineLevel="0" max="34" min="20" style="0" width="15.71"/>
    <col collapsed="false" customWidth="true" hidden="false" outlineLevel="0" max="36" min="36" style="0" width="15.57"/>
  </cols>
  <sheetData>
    <row r="1" customFormat="false" ht="15" hidden="false" customHeight="true" outlineLevel="0" collapsed="false">
      <c r="A1" s="198" t="s">
        <v>288</v>
      </c>
      <c r="B1" s="198"/>
      <c r="C1" s="198"/>
      <c r="D1" s="198"/>
      <c r="E1" s="35" t="s">
        <v>29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6" t="s">
        <v>30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78" t="s">
        <v>31</v>
      </c>
      <c r="AJ1" s="78"/>
      <c r="AK1" s="211" t="s">
        <v>289</v>
      </c>
    </row>
    <row r="2" customFormat="false" ht="15" hidden="false" customHeight="true" outlineLevel="0" collapsed="false">
      <c r="A2" s="198"/>
      <c r="B2" s="198"/>
      <c r="C2" s="198"/>
      <c r="D2" s="198"/>
      <c r="E2" s="41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3" t="n">
        <f aca="false">MROUND(SUM(T4:T17),1)</f>
        <v>2031</v>
      </c>
      <c r="U2" s="43" t="n">
        <f aca="false">MROUND(SUM(U4:U17),1)</f>
        <v>2066</v>
      </c>
      <c r="V2" s="43" t="n">
        <f aca="false">MROUND(SUM(V4:V17),1)</f>
        <v>3092</v>
      </c>
      <c r="W2" s="43" t="n">
        <f aca="false">MROUND(SUM(W4:W17),1)</f>
        <v>2237</v>
      </c>
      <c r="X2" s="43" t="n">
        <f aca="false">MROUND(SUM(X4:X17),1)</f>
        <v>2031</v>
      </c>
      <c r="Y2" s="43" t="n">
        <f aca="false">MROUND(SUM(Y4:Y17),1)</f>
        <v>5953</v>
      </c>
      <c r="Z2" s="43" t="n">
        <f aca="false">MROUND(SUM(Z4:Z17),1)</f>
        <v>2031</v>
      </c>
      <c r="AA2" s="43" t="n">
        <f aca="false">MROUND(SUM(AA4:AA17),1)</f>
        <v>2066</v>
      </c>
      <c r="AB2" s="43" t="n">
        <f aca="false">MROUND(SUM(AB4:AB17),1)</f>
        <v>3092</v>
      </c>
      <c r="AC2" s="43" t="n">
        <f aca="false">MROUND(SUM(AC4:AC17),1)</f>
        <v>1895</v>
      </c>
      <c r="AD2" s="43" t="n">
        <f aca="false">MROUND(SUM(AD4:AD17),1)</f>
        <v>0</v>
      </c>
      <c r="AE2" s="43" t="n">
        <f aca="false">MROUND(SUM(AE4:AE17),1)</f>
        <v>0</v>
      </c>
      <c r="AF2" s="43" t="n">
        <f aca="false">MROUND(SUM(AF4:AF17),1)</f>
        <v>0</v>
      </c>
      <c r="AG2" s="43" t="n">
        <f aca="false">MROUND(SUM(AG4:AG17),1)</f>
        <v>0</v>
      </c>
      <c r="AH2" s="43" t="n">
        <f aca="false">MROUND(SUM(AH4:AH17),1)</f>
        <v>0</v>
      </c>
      <c r="AI2" s="44" t="n">
        <f aca="false">SUM(T2:AC2)</f>
        <v>26494</v>
      </c>
      <c r="AJ2" s="44"/>
    </row>
    <row r="3" customFormat="false" ht="15" hidden="false" customHeight="false" outlineLevel="0" collapsed="false">
      <c r="A3" s="45" t="s">
        <v>32</v>
      </c>
      <c r="B3" s="45" t="s">
        <v>33</v>
      </c>
      <c r="C3" s="46" t="s">
        <v>34</v>
      </c>
      <c r="D3" s="200" t="s">
        <v>35</v>
      </c>
      <c r="E3" s="48" t="s">
        <v>186</v>
      </c>
      <c r="F3" s="48" t="s">
        <v>187</v>
      </c>
      <c r="G3" s="48" t="s">
        <v>188</v>
      </c>
      <c r="H3" s="48" t="s">
        <v>189</v>
      </c>
      <c r="I3" s="48" t="s">
        <v>190</v>
      </c>
      <c r="J3" s="48" t="s">
        <v>191</v>
      </c>
      <c r="K3" s="48" t="s">
        <v>192</v>
      </c>
      <c r="L3" s="48" t="s">
        <v>193</v>
      </c>
      <c r="M3" s="48" t="s">
        <v>194</v>
      </c>
      <c r="N3" s="48" t="s">
        <v>195</v>
      </c>
      <c r="O3" s="50" t="s">
        <v>276</v>
      </c>
      <c r="P3" s="48" t="s">
        <v>277</v>
      </c>
      <c r="Q3" s="48" t="s">
        <v>278</v>
      </c>
      <c r="R3" s="48" t="s">
        <v>279</v>
      </c>
      <c r="S3" s="48" t="s">
        <v>280</v>
      </c>
      <c r="T3" s="48" t="n">
        <v>20000</v>
      </c>
      <c r="U3" s="48" t="n">
        <v>40000</v>
      </c>
      <c r="V3" s="48" t="n">
        <v>60000</v>
      </c>
      <c r="W3" s="48" t="n">
        <v>80000</v>
      </c>
      <c r="X3" s="48" t="n">
        <v>100000</v>
      </c>
      <c r="Y3" s="48" t="n">
        <v>120000</v>
      </c>
      <c r="Z3" s="48" t="n">
        <v>140000</v>
      </c>
      <c r="AA3" s="48" t="n">
        <v>160000</v>
      </c>
      <c r="AB3" s="48" t="n">
        <v>180000</v>
      </c>
      <c r="AC3" s="48" t="n">
        <f aca="false">AB3+20000</f>
        <v>200000</v>
      </c>
      <c r="AD3" s="48" t="n">
        <f aca="false">AC3+20000</f>
        <v>220000</v>
      </c>
      <c r="AE3" s="48" t="n">
        <f aca="false">AD3+20000</f>
        <v>240000</v>
      </c>
      <c r="AF3" s="48" t="n">
        <f aca="false">AE3+20000</f>
        <v>260000</v>
      </c>
      <c r="AG3" s="48" t="n">
        <f aca="false">AF3+20000</f>
        <v>280000</v>
      </c>
      <c r="AH3" s="48" t="n">
        <f aca="false">AG3+20000</f>
        <v>300000</v>
      </c>
      <c r="AI3" s="51" t="s">
        <v>46</v>
      </c>
      <c r="AJ3" s="45" t="s">
        <v>47</v>
      </c>
      <c r="AL3" s="0" t="n">
        <v>1186</v>
      </c>
    </row>
    <row r="4" customFormat="false" ht="15" hidden="false" customHeight="false" outlineLevel="0" collapsed="false">
      <c r="A4" s="52" t="n">
        <v>1</v>
      </c>
      <c r="B4" s="53" t="s">
        <v>290</v>
      </c>
      <c r="C4" s="201" t="s">
        <v>246</v>
      </c>
      <c r="D4" s="55" t="n">
        <f aca="false">VLOOKUP(C4,'[1]PREÇO ATUAL'!$A$1:$D$1048576,4,0)</f>
        <v>13.243692</v>
      </c>
      <c r="E4" s="56" t="n">
        <v>1</v>
      </c>
      <c r="F4" s="56" t="n">
        <v>1</v>
      </c>
      <c r="G4" s="56" t="n">
        <v>1</v>
      </c>
      <c r="H4" s="56" t="n">
        <v>1</v>
      </c>
      <c r="I4" s="56" t="n">
        <v>1</v>
      </c>
      <c r="J4" s="56" t="n">
        <v>1</v>
      </c>
      <c r="K4" s="56" t="n">
        <v>1</v>
      </c>
      <c r="L4" s="56" t="n">
        <v>1</v>
      </c>
      <c r="M4" s="56" t="n">
        <v>1</v>
      </c>
      <c r="N4" s="56" t="n">
        <v>1</v>
      </c>
      <c r="O4" s="56"/>
      <c r="P4" s="56"/>
      <c r="Q4" s="56"/>
      <c r="R4" s="56"/>
      <c r="S4" s="56"/>
      <c r="T4" s="58" t="n">
        <f aca="false">$D$4*E4</f>
        <v>13.243692</v>
      </c>
      <c r="U4" s="58" t="n">
        <f aca="false">$D$4*F4</f>
        <v>13.243692</v>
      </c>
      <c r="V4" s="58" t="n">
        <f aca="false">$D$4*G4</f>
        <v>13.243692</v>
      </c>
      <c r="W4" s="58" t="n">
        <f aca="false">$D$4*H4</f>
        <v>13.243692</v>
      </c>
      <c r="X4" s="58" t="n">
        <f aca="false">$D$4*I4</f>
        <v>13.243692</v>
      </c>
      <c r="Y4" s="58" t="n">
        <f aca="false">$D$4*J4</f>
        <v>13.243692</v>
      </c>
      <c r="Z4" s="58" t="n">
        <f aca="false">$D$4*K4</f>
        <v>13.243692</v>
      </c>
      <c r="AA4" s="58" t="n">
        <f aca="false">$D$4*L4</f>
        <v>13.243692</v>
      </c>
      <c r="AB4" s="58" t="n">
        <f aca="false">$D$4*M4</f>
        <v>13.243692</v>
      </c>
      <c r="AC4" s="58" t="n">
        <f aca="false">$D$4*N4</f>
        <v>13.243692</v>
      </c>
      <c r="AD4" s="58" t="n">
        <f aca="false">$D$4*O4</f>
        <v>0</v>
      </c>
      <c r="AE4" s="58" t="n">
        <f aca="false">$D$4*P4</f>
        <v>0</v>
      </c>
      <c r="AF4" s="58" t="n">
        <f aca="false">$D$4*Q4</f>
        <v>0</v>
      </c>
      <c r="AG4" s="58" t="n">
        <f aca="false">$D$4*R4</f>
        <v>0</v>
      </c>
      <c r="AH4" s="58" t="n">
        <f aca="false">$D$4*S4</f>
        <v>0</v>
      </c>
      <c r="AI4" s="94" t="n">
        <f aca="false">AJ4/$AI$2</f>
        <v>0.00499875141541481</v>
      </c>
      <c r="AJ4" s="58" t="n">
        <f aca="false">SUM(T4:AC4)</f>
        <v>132.43692</v>
      </c>
      <c r="AL4" s="0" t="n">
        <v>820</v>
      </c>
      <c r="AM4" s="0" t="n">
        <f aca="false">AL4/AL3</f>
        <v>0.691399662731872</v>
      </c>
    </row>
    <row r="5" customFormat="false" ht="15" hidden="false" customHeight="false" outlineLevel="0" collapsed="false">
      <c r="A5" s="60" t="n">
        <v>2</v>
      </c>
      <c r="B5" s="61" t="s">
        <v>291</v>
      </c>
      <c r="C5" s="202" t="s">
        <v>292</v>
      </c>
      <c r="D5" s="63" t="n">
        <f aca="false">VLOOKUP(C5,'[1]PREÇO ATUAL'!$A$1:$D$1048576,4,0)</f>
        <v>101.44</v>
      </c>
      <c r="E5" s="64" t="n">
        <v>1</v>
      </c>
      <c r="F5" s="64" t="n">
        <v>1</v>
      </c>
      <c r="G5" s="64" t="n">
        <v>1</v>
      </c>
      <c r="H5" s="64" t="n">
        <v>1</v>
      </c>
      <c r="I5" s="64" t="n">
        <v>1</v>
      </c>
      <c r="J5" s="64" t="n">
        <v>1</v>
      </c>
      <c r="K5" s="64" t="n">
        <v>1</v>
      </c>
      <c r="L5" s="64" t="n">
        <v>1</v>
      </c>
      <c r="M5" s="64" t="n">
        <v>1</v>
      </c>
      <c r="N5" s="64" t="n">
        <v>1</v>
      </c>
      <c r="O5" s="64"/>
      <c r="P5" s="64"/>
      <c r="Q5" s="64"/>
      <c r="R5" s="64"/>
      <c r="S5" s="64"/>
      <c r="T5" s="66" t="n">
        <f aca="false">$D$5*E5</f>
        <v>101.44</v>
      </c>
      <c r="U5" s="66" t="n">
        <f aca="false">$D$5*F5</f>
        <v>101.44</v>
      </c>
      <c r="V5" s="66" t="n">
        <f aca="false">$D$5*G5</f>
        <v>101.44</v>
      </c>
      <c r="W5" s="66" t="n">
        <f aca="false">$D$5*H5</f>
        <v>101.44</v>
      </c>
      <c r="X5" s="66" t="n">
        <f aca="false">$D$5*I5</f>
        <v>101.44</v>
      </c>
      <c r="Y5" s="66" t="n">
        <f aca="false">$D$5*J5</f>
        <v>101.44</v>
      </c>
      <c r="Z5" s="66" t="n">
        <f aca="false">$D$5*K5</f>
        <v>101.44</v>
      </c>
      <c r="AA5" s="66" t="n">
        <f aca="false">$D$5*L5</f>
        <v>101.44</v>
      </c>
      <c r="AB5" s="66" t="n">
        <f aca="false">$D$5*M5</f>
        <v>101.44</v>
      </c>
      <c r="AC5" s="66" t="n">
        <f aca="false">$D$5*N5</f>
        <v>101.44</v>
      </c>
      <c r="AD5" s="66" t="n">
        <f aca="false">$D$5*O5</f>
        <v>0</v>
      </c>
      <c r="AE5" s="66" t="n">
        <f aca="false">$D$5*P5</f>
        <v>0</v>
      </c>
      <c r="AF5" s="66" t="n">
        <f aca="false">$D$5*Q5</f>
        <v>0</v>
      </c>
      <c r="AG5" s="66" t="n">
        <f aca="false">$D$5*R5</f>
        <v>0</v>
      </c>
      <c r="AH5" s="66" t="n">
        <f aca="false">$D$5*S5</f>
        <v>0</v>
      </c>
      <c r="AI5" s="95" t="n">
        <f aca="false">AJ5/$AI$2</f>
        <v>0.0382879142447347</v>
      </c>
      <c r="AJ5" s="66" t="n">
        <f aca="false">SUM(T5:AC5)</f>
        <v>1014.4</v>
      </c>
      <c r="AL5" s="0" t="n">
        <f aca="false">AL3-AL4</f>
        <v>366</v>
      </c>
      <c r="AM5" s="0" t="n">
        <f aca="false">AL5/AL3</f>
        <v>0.308600337268128</v>
      </c>
    </row>
    <row r="6" customFormat="false" ht="15" hidden="false" customHeight="false" outlineLevel="0" collapsed="false">
      <c r="A6" s="52" t="n">
        <v>3</v>
      </c>
      <c r="B6" s="53" t="s">
        <v>98</v>
      </c>
      <c r="C6" s="201" t="s">
        <v>293</v>
      </c>
      <c r="D6" s="55" t="n">
        <f aca="false">VLOOKUP(C6,'[1]PREÇO ATUAL'!$A$1:$D$1048576,4,0)</f>
        <v>374.14</v>
      </c>
      <c r="E6" s="56" t="n">
        <v>1</v>
      </c>
      <c r="F6" s="56" t="n">
        <v>1</v>
      </c>
      <c r="G6" s="56" t="n">
        <v>1</v>
      </c>
      <c r="H6" s="56" t="n">
        <v>1</v>
      </c>
      <c r="I6" s="56" t="n">
        <v>1</v>
      </c>
      <c r="J6" s="56" t="n">
        <v>1</v>
      </c>
      <c r="K6" s="56" t="n">
        <v>1</v>
      </c>
      <c r="L6" s="56" t="n">
        <v>1</v>
      </c>
      <c r="M6" s="56" t="n">
        <v>1</v>
      </c>
      <c r="N6" s="56" t="n">
        <v>1</v>
      </c>
      <c r="O6" s="56"/>
      <c r="P6" s="56"/>
      <c r="Q6" s="56"/>
      <c r="R6" s="56"/>
      <c r="S6" s="56"/>
      <c r="T6" s="58" t="n">
        <f aca="false">D6*E6</f>
        <v>374.14</v>
      </c>
      <c r="U6" s="58" t="n">
        <f aca="false">$D$6*F6</f>
        <v>374.14</v>
      </c>
      <c r="V6" s="58" t="n">
        <f aca="false">$D$6*G6</f>
        <v>374.14</v>
      </c>
      <c r="W6" s="58" t="n">
        <f aca="false">$D$6*H6</f>
        <v>374.14</v>
      </c>
      <c r="X6" s="58" t="n">
        <f aca="false">$D$6*I6</f>
        <v>374.14</v>
      </c>
      <c r="Y6" s="58" t="n">
        <f aca="false">$D$6*J6</f>
        <v>374.14</v>
      </c>
      <c r="Z6" s="58" t="n">
        <f aca="false">$D$6*K6</f>
        <v>374.14</v>
      </c>
      <c r="AA6" s="58" t="n">
        <f aca="false">$D$6*L6</f>
        <v>374.14</v>
      </c>
      <c r="AB6" s="58" t="n">
        <f aca="false">$D$6*M6</f>
        <v>374.14</v>
      </c>
      <c r="AC6" s="58" t="n">
        <f aca="false">$D$6*N6</f>
        <v>374.14</v>
      </c>
      <c r="AD6" s="58" t="n">
        <f aca="false">$D$6*O6</f>
        <v>0</v>
      </c>
      <c r="AE6" s="58" t="n">
        <f aca="false">$D$6*P6</f>
        <v>0</v>
      </c>
      <c r="AF6" s="58" t="n">
        <f aca="false">$D$6*Q6</f>
        <v>0</v>
      </c>
      <c r="AG6" s="58" t="n">
        <f aca="false">$D$6*R6</f>
        <v>0</v>
      </c>
      <c r="AH6" s="58" t="n">
        <f aca="false">$D$6*S6</f>
        <v>0</v>
      </c>
      <c r="AI6" s="94" t="n">
        <f aca="false">AJ6/$AI$2</f>
        <v>0.141216879293425</v>
      </c>
      <c r="AJ6" s="58" t="n">
        <f aca="false">SUM(T6:AC6)</f>
        <v>3741.4</v>
      </c>
    </row>
    <row r="7" customFormat="false" ht="15" hidden="false" customHeight="false" outlineLevel="0" collapsed="false">
      <c r="A7" s="60" t="n">
        <v>4</v>
      </c>
      <c r="B7" s="61" t="s">
        <v>294</v>
      </c>
      <c r="C7" s="202" t="s">
        <v>295</v>
      </c>
      <c r="D7" s="63" t="n">
        <f aca="false">VLOOKUP(C7,'[1]PREÇO ATUAL'!$A$1:$D$1048576,4,0)</f>
        <v>133.51</v>
      </c>
      <c r="E7" s="64" t="n">
        <v>1</v>
      </c>
      <c r="F7" s="64" t="n">
        <v>1</v>
      </c>
      <c r="G7" s="64" t="n">
        <v>1</v>
      </c>
      <c r="H7" s="64" t="n">
        <v>1</v>
      </c>
      <c r="I7" s="64" t="n">
        <v>1</v>
      </c>
      <c r="J7" s="64" t="n">
        <v>1</v>
      </c>
      <c r="K7" s="64" t="n">
        <v>1</v>
      </c>
      <c r="L7" s="64" t="n">
        <v>1</v>
      </c>
      <c r="M7" s="64" t="n">
        <v>1</v>
      </c>
      <c r="N7" s="64" t="n">
        <v>1</v>
      </c>
      <c r="O7" s="64"/>
      <c r="P7" s="64"/>
      <c r="Q7" s="64"/>
      <c r="R7" s="64"/>
      <c r="S7" s="64"/>
      <c r="T7" s="66" t="n">
        <f aca="false">D7*E7</f>
        <v>133.51</v>
      </c>
      <c r="U7" s="66" t="n">
        <f aca="false">$D$7*F7</f>
        <v>133.51</v>
      </c>
      <c r="V7" s="66" t="n">
        <f aca="false">$D$7*G7</f>
        <v>133.51</v>
      </c>
      <c r="W7" s="66" t="n">
        <f aca="false">$D$7*H7</f>
        <v>133.51</v>
      </c>
      <c r="X7" s="66" t="n">
        <f aca="false">$D$7*I7</f>
        <v>133.51</v>
      </c>
      <c r="Y7" s="66" t="n">
        <f aca="false">$D$7*J7</f>
        <v>133.51</v>
      </c>
      <c r="Z7" s="66" t="n">
        <f aca="false">$D$7*K7</f>
        <v>133.51</v>
      </c>
      <c r="AA7" s="66" t="n">
        <f aca="false">$D$7*L7</f>
        <v>133.51</v>
      </c>
      <c r="AB7" s="66" t="n">
        <f aca="false">$D$7*M7</f>
        <v>133.51</v>
      </c>
      <c r="AC7" s="66" t="n">
        <f aca="false">$D$7*N7</f>
        <v>133.51</v>
      </c>
      <c r="AD7" s="66" t="n">
        <f aca="false">$D$7*O7</f>
        <v>0</v>
      </c>
      <c r="AE7" s="66" t="n">
        <f aca="false">$D$7*P7</f>
        <v>0</v>
      </c>
      <c r="AF7" s="66" t="n">
        <f aca="false">$D$7*Q7</f>
        <v>0</v>
      </c>
      <c r="AG7" s="66" t="n">
        <f aca="false">$D$7*R7</f>
        <v>0</v>
      </c>
      <c r="AH7" s="66" t="n">
        <f aca="false">$D$7*S7</f>
        <v>0</v>
      </c>
      <c r="AI7" s="95" t="n">
        <f aca="false">AJ7/$AI$2</f>
        <v>0.0503925417075564</v>
      </c>
      <c r="AJ7" s="66" t="n">
        <f aca="false">SUM(T7:AC7)</f>
        <v>1335.1</v>
      </c>
    </row>
    <row r="8" customFormat="false" ht="15" hidden="false" customHeight="false" outlineLevel="0" collapsed="false">
      <c r="A8" s="52" t="n">
        <v>5</v>
      </c>
      <c r="B8" s="53" t="s">
        <v>296</v>
      </c>
      <c r="C8" s="201" t="s">
        <v>297</v>
      </c>
      <c r="D8" s="55" t="n">
        <f aca="false">VLOOKUP(C8,'[1]PREÇO ATUAL'!$A$1:$D$1048576,4,0)</f>
        <v>158.84</v>
      </c>
      <c r="E8" s="56" t="n">
        <v>1</v>
      </c>
      <c r="F8" s="56" t="n">
        <v>1</v>
      </c>
      <c r="G8" s="56" t="n">
        <v>1</v>
      </c>
      <c r="H8" s="56" t="n">
        <v>1</v>
      </c>
      <c r="I8" s="56" t="n">
        <v>1</v>
      </c>
      <c r="J8" s="56" t="n">
        <v>1</v>
      </c>
      <c r="K8" s="56" t="n">
        <v>1</v>
      </c>
      <c r="L8" s="56" t="n">
        <v>1</v>
      </c>
      <c r="M8" s="56" t="n">
        <v>1</v>
      </c>
      <c r="N8" s="56" t="n">
        <v>1</v>
      </c>
      <c r="O8" s="56"/>
      <c r="P8" s="56"/>
      <c r="Q8" s="56"/>
      <c r="R8" s="56"/>
      <c r="S8" s="56"/>
      <c r="T8" s="58" t="n">
        <f aca="false">D8*E8</f>
        <v>158.84</v>
      </c>
      <c r="U8" s="58" t="n">
        <f aca="false">$D$8*F8</f>
        <v>158.84</v>
      </c>
      <c r="V8" s="58" t="n">
        <f aca="false">$D$8*G8</f>
        <v>158.84</v>
      </c>
      <c r="W8" s="58" t="n">
        <f aca="false">$D$8*H8</f>
        <v>158.84</v>
      </c>
      <c r="X8" s="58" t="n">
        <f aca="false">$D$8*I8</f>
        <v>158.84</v>
      </c>
      <c r="Y8" s="58" t="n">
        <f aca="false">$D$8*J8</f>
        <v>158.84</v>
      </c>
      <c r="Z8" s="58" t="n">
        <f aca="false">$D$8*K8</f>
        <v>158.84</v>
      </c>
      <c r="AA8" s="58" t="n">
        <f aca="false">$D$8*L8</f>
        <v>158.84</v>
      </c>
      <c r="AB8" s="58" t="n">
        <f aca="false">$D$8*M8</f>
        <v>158.84</v>
      </c>
      <c r="AC8" s="58" t="n">
        <f aca="false">$D$8*N8</f>
        <v>158.84</v>
      </c>
      <c r="AD8" s="58" t="n">
        <f aca="false">$D$8*O8</f>
        <v>0</v>
      </c>
      <c r="AE8" s="58" t="n">
        <f aca="false">$D$8*P8</f>
        <v>0</v>
      </c>
      <c r="AF8" s="58" t="n">
        <f aca="false">$D$8*Q8</f>
        <v>0</v>
      </c>
      <c r="AG8" s="58" t="n">
        <f aca="false">$D$8*R8</f>
        <v>0</v>
      </c>
      <c r="AH8" s="58" t="n">
        <f aca="false">$D$8*S8</f>
        <v>0</v>
      </c>
      <c r="AI8" s="94" t="n">
        <f aca="false">AJ8/$AI$2</f>
        <v>0.0599531969502529</v>
      </c>
      <c r="AJ8" s="58" t="n">
        <f aca="false">SUM(T8:AC8)</f>
        <v>1588.4</v>
      </c>
    </row>
    <row r="9" customFormat="false" ht="15" hidden="false" customHeight="false" outlineLevel="0" collapsed="false">
      <c r="A9" s="60" t="n">
        <v>6</v>
      </c>
      <c r="B9" s="61" t="s">
        <v>269</v>
      </c>
      <c r="C9" s="202" t="s">
        <v>298</v>
      </c>
      <c r="D9" s="63" t="n">
        <f aca="false">VLOOKUP(C9,'[1]PREÇO ATUAL'!$A$1:$D$1048576,4,0)</f>
        <v>376.45</v>
      </c>
      <c r="E9" s="117"/>
      <c r="F9" s="117"/>
      <c r="G9" s="64" t="n">
        <v>1</v>
      </c>
      <c r="H9" s="64"/>
      <c r="I9" s="117"/>
      <c r="J9" s="64" t="n">
        <v>1</v>
      </c>
      <c r="K9" s="117"/>
      <c r="L9" s="64"/>
      <c r="M9" s="64" t="n">
        <v>1</v>
      </c>
      <c r="N9" s="117"/>
      <c r="O9" s="117"/>
      <c r="P9" s="117"/>
      <c r="Q9" s="117"/>
      <c r="R9" s="117"/>
      <c r="S9" s="117"/>
      <c r="T9" s="66" t="n">
        <f aca="false">$D$9*E9</f>
        <v>0</v>
      </c>
      <c r="U9" s="66" t="n">
        <f aca="false">$D$9*F9</f>
        <v>0</v>
      </c>
      <c r="V9" s="66" t="n">
        <f aca="false">$D$9*G9</f>
        <v>376.45</v>
      </c>
      <c r="W9" s="66" t="n">
        <f aca="false">$D$9*H9</f>
        <v>0</v>
      </c>
      <c r="X9" s="66" t="n">
        <f aca="false">$D$9*I9</f>
        <v>0</v>
      </c>
      <c r="Y9" s="66" t="n">
        <f aca="false">$D$9*J9</f>
        <v>376.45</v>
      </c>
      <c r="Z9" s="66" t="n">
        <f aca="false">$D$9*K9</f>
        <v>0</v>
      </c>
      <c r="AA9" s="66" t="n">
        <f aca="false">$D$9*L9</f>
        <v>0</v>
      </c>
      <c r="AB9" s="66" t="n">
        <f aca="false">$D$9*M9</f>
        <v>376.45</v>
      </c>
      <c r="AC9" s="66" t="n">
        <f aca="false">$D$9*N9</f>
        <v>0</v>
      </c>
      <c r="AD9" s="66" t="n">
        <f aca="false">$D$9*O9</f>
        <v>0</v>
      </c>
      <c r="AE9" s="66" t="n">
        <f aca="false">$D$9*P9</f>
        <v>0</v>
      </c>
      <c r="AF9" s="66" t="n">
        <f aca="false">$D$9*Q9</f>
        <v>0</v>
      </c>
      <c r="AG9" s="66" t="n">
        <f aca="false">$D$9*R9</f>
        <v>0</v>
      </c>
      <c r="AH9" s="66" t="n">
        <f aca="false">$D$9*S9</f>
        <v>0</v>
      </c>
      <c r="AI9" s="95" t="n">
        <f aca="false">AJ9/$AI$2</f>
        <v>0.0426266324450819</v>
      </c>
      <c r="AJ9" s="66" t="n">
        <f aca="false">SUM(T9:AC9)</f>
        <v>1129.35</v>
      </c>
    </row>
    <row r="10" customFormat="false" ht="15" hidden="false" customHeight="false" outlineLevel="0" collapsed="false">
      <c r="A10" s="52" t="n">
        <v>7</v>
      </c>
      <c r="B10" s="53" t="s">
        <v>299</v>
      </c>
      <c r="C10" s="201" t="s">
        <v>300</v>
      </c>
      <c r="D10" s="55" t="n">
        <f aca="false">VLOOKUP(C10,'[1]PREÇO ATUAL'!$A$1:$D$1048576,4,0)</f>
        <v>381.11</v>
      </c>
      <c r="E10" s="56"/>
      <c r="F10" s="56"/>
      <c r="G10" s="56"/>
      <c r="H10" s="56"/>
      <c r="I10" s="56"/>
      <c r="J10" s="56" t="n">
        <v>1</v>
      </c>
      <c r="K10" s="56"/>
      <c r="L10" s="56"/>
      <c r="M10" s="56"/>
      <c r="N10" s="56"/>
      <c r="O10" s="56"/>
      <c r="P10" s="56"/>
      <c r="Q10" s="56"/>
      <c r="R10" s="56"/>
      <c r="S10" s="56"/>
      <c r="T10" s="58" t="n">
        <f aca="false">$D$10*E10</f>
        <v>0</v>
      </c>
      <c r="U10" s="58" t="n">
        <f aca="false">$D$10*F10</f>
        <v>0</v>
      </c>
      <c r="V10" s="58" t="n">
        <f aca="false">$D$10*G10</f>
        <v>0</v>
      </c>
      <c r="W10" s="58" t="n">
        <f aca="false">$D$10*H10</f>
        <v>0</v>
      </c>
      <c r="X10" s="58" t="n">
        <f aca="false">$D$10*I10</f>
        <v>0</v>
      </c>
      <c r="Y10" s="58" t="n">
        <f aca="false">$D$10*J10</f>
        <v>381.11</v>
      </c>
      <c r="Z10" s="58" t="n">
        <f aca="false">$D$10*K10</f>
        <v>0</v>
      </c>
      <c r="AA10" s="58" t="n">
        <f aca="false">$D$10*L10</f>
        <v>0</v>
      </c>
      <c r="AB10" s="58" t="n">
        <f aca="false">$D$10*M10</f>
        <v>0</v>
      </c>
      <c r="AC10" s="58" t="n">
        <f aca="false">$D$10*N10</f>
        <v>0</v>
      </c>
      <c r="AD10" s="58" t="n">
        <f aca="false">$D$10*O10</f>
        <v>0</v>
      </c>
      <c r="AE10" s="58" t="n">
        <f aca="false">$D$10*P10</f>
        <v>0</v>
      </c>
      <c r="AF10" s="58" t="n">
        <f aca="false">$D$10*Q10</f>
        <v>0</v>
      </c>
      <c r="AG10" s="58" t="n">
        <f aca="false">$D$10*R10</f>
        <v>0</v>
      </c>
      <c r="AH10" s="58" t="n">
        <f aca="false">$D$10*S10</f>
        <v>0</v>
      </c>
      <c r="AI10" s="94" t="n">
        <f aca="false">AJ10/$AI$2</f>
        <v>0.0143847663621952</v>
      </c>
      <c r="AJ10" s="58" t="n">
        <f aca="false">SUM(T10:AC10)</f>
        <v>381.11</v>
      </c>
    </row>
    <row r="11" customFormat="false" ht="15" hidden="false" customHeight="false" outlineLevel="0" collapsed="false">
      <c r="A11" s="60" t="n">
        <v>8</v>
      </c>
      <c r="B11" s="61" t="s">
        <v>301</v>
      </c>
      <c r="C11" s="202" t="s">
        <v>302</v>
      </c>
      <c r="D11" s="63" t="n">
        <f aca="false">VLOOKUP(C11,'[1]PREÇO ATUAL'!$A$1:$D$1048576,4,0)</f>
        <v>1612.97598</v>
      </c>
      <c r="E11" s="117"/>
      <c r="F11" s="117"/>
      <c r="G11" s="64"/>
      <c r="H11" s="64"/>
      <c r="I11" s="117"/>
      <c r="J11" s="64" t="n">
        <v>1</v>
      </c>
      <c r="K11" s="117"/>
      <c r="L11" s="64"/>
      <c r="M11" s="64"/>
      <c r="N11" s="117"/>
      <c r="O11" s="117"/>
      <c r="P11" s="117"/>
      <c r="Q11" s="117"/>
      <c r="R11" s="117"/>
      <c r="S11" s="117"/>
      <c r="T11" s="66" t="n">
        <f aca="false">$D$11*E11</f>
        <v>0</v>
      </c>
      <c r="U11" s="66" t="n">
        <f aca="false">$D$11*F11</f>
        <v>0</v>
      </c>
      <c r="V11" s="66" t="n">
        <f aca="false">$D$11*G11</f>
        <v>0</v>
      </c>
      <c r="W11" s="66" t="n">
        <f aca="false">$D$11*H11</f>
        <v>0</v>
      </c>
      <c r="X11" s="66" t="n">
        <f aca="false">$D$11*I11</f>
        <v>0</v>
      </c>
      <c r="Y11" s="66" t="n">
        <f aca="false">$D$11*J11</f>
        <v>1612.97598</v>
      </c>
      <c r="Z11" s="66" t="n">
        <f aca="false">$D$11*K11</f>
        <v>0</v>
      </c>
      <c r="AA11" s="66" t="n">
        <f aca="false">$D$11*L11</f>
        <v>0</v>
      </c>
      <c r="AB11" s="66" t="n">
        <f aca="false">$D$11*M11</f>
        <v>0</v>
      </c>
      <c r="AC11" s="66" t="n">
        <f aca="false">$D$11*N11</f>
        <v>0</v>
      </c>
      <c r="AD11" s="66" t="n">
        <f aca="false">$D$11*O11</f>
        <v>0</v>
      </c>
      <c r="AE11" s="66" t="n">
        <f aca="false">$D$11*P11</f>
        <v>0</v>
      </c>
      <c r="AF11" s="66" t="n">
        <f aca="false">$D$11*Q11</f>
        <v>0</v>
      </c>
      <c r="AG11" s="66" t="n">
        <f aca="false">$D$11*R11</f>
        <v>0</v>
      </c>
      <c r="AH11" s="66" t="n">
        <f aca="false">$D$11*S11</f>
        <v>0</v>
      </c>
      <c r="AI11" s="95" t="n">
        <f aca="false">AJ11/$AI$2</f>
        <v>0.0608808024458368</v>
      </c>
      <c r="AJ11" s="66" t="n">
        <f aca="false">SUM(T11:AC11)</f>
        <v>1612.97598</v>
      </c>
    </row>
    <row r="12" customFormat="false" ht="15" hidden="false" customHeight="false" outlineLevel="0" collapsed="false">
      <c r="A12" s="52" t="n">
        <v>9</v>
      </c>
      <c r="B12" s="53" t="s">
        <v>303</v>
      </c>
      <c r="C12" s="201" t="s">
        <v>304</v>
      </c>
      <c r="D12" s="55" t="n">
        <f aca="false">VLOOKUP(C12,'[1]PREÇO ATUAL'!$A$1:$D$1048576,4,0)</f>
        <v>205.93</v>
      </c>
      <c r="E12" s="56"/>
      <c r="F12" s="56"/>
      <c r="G12" s="56"/>
      <c r="H12" s="56"/>
      <c r="I12" s="56"/>
      <c r="J12" s="56" t="n">
        <v>1</v>
      </c>
      <c r="K12" s="56"/>
      <c r="L12" s="56"/>
      <c r="M12" s="56"/>
      <c r="N12" s="56"/>
      <c r="O12" s="56"/>
      <c r="P12" s="56"/>
      <c r="Q12" s="56"/>
      <c r="R12" s="56"/>
      <c r="S12" s="56"/>
      <c r="T12" s="58" t="n">
        <f aca="false">$D$12*E12</f>
        <v>0</v>
      </c>
      <c r="U12" s="58" t="n">
        <f aca="false">$D$12*F12</f>
        <v>0</v>
      </c>
      <c r="V12" s="58" t="n">
        <f aca="false">$D$12*G12</f>
        <v>0</v>
      </c>
      <c r="W12" s="58" t="n">
        <f aca="false">$D$12*H12</f>
        <v>0</v>
      </c>
      <c r="X12" s="58" t="n">
        <f aca="false">$D$12*I12</f>
        <v>0</v>
      </c>
      <c r="Y12" s="58" t="n">
        <f aca="false">$D$12*J12</f>
        <v>205.93</v>
      </c>
      <c r="Z12" s="58" t="n">
        <f aca="false">$D$12*K12</f>
        <v>0</v>
      </c>
      <c r="AA12" s="58" t="n">
        <f aca="false">$D$12*L12</f>
        <v>0</v>
      </c>
      <c r="AB12" s="58" t="n">
        <f aca="false">$D$12*M12</f>
        <v>0</v>
      </c>
      <c r="AC12" s="58" t="n">
        <f aca="false">$D$12*N12</f>
        <v>0</v>
      </c>
      <c r="AD12" s="58" t="n">
        <f aca="false">$D$12*O12</f>
        <v>0</v>
      </c>
      <c r="AE12" s="58" t="n">
        <f aca="false">$D$12*P12</f>
        <v>0</v>
      </c>
      <c r="AF12" s="58" t="n">
        <f aca="false">$D$12*Q12</f>
        <v>0</v>
      </c>
      <c r="AG12" s="58" t="n">
        <f aca="false">$D$12*R12</f>
        <v>0</v>
      </c>
      <c r="AH12" s="58" t="n">
        <f aca="false">$D$12*S12</f>
        <v>0</v>
      </c>
      <c r="AI12" s="94" t="n">
        <f aca="false">AJ12/$AI$2</f>
        <v>0.00777270325356685</v>
      </c>
      <c r="AJ12" s="58" t="n">
        <f aca="false">SUM(T12:AC12)</f>
        <v>205.93</v>
      </c>
    </row>
    <row r="13" customFormat="false" ht="15" hidden="false" customHeight="false" outlineLevel="0" collapsed="false">
      <c r="A13" s="60" t="n">
        <v>10</v>
      </c>
      <c r="B13" s="61" t="s">
        <v>305</v>
      </c>
      <c r="C13" s="202" t="s">
        <v>306</v>
      </c>
      <c r="D13" s="63" t="n">
        <f aca="false">VLOOKUP(C13,'[1]PREÇO ATUAL'!$A$1:$D$1048576,4,0)</f>
        <v>559</v>
      </c>
      <c r="E13" s="117"/>
      <c r="F13" s="117"/>
      <c r="G13" s="64"/>
      <c r="H13" s="64"/>
      <c r="I13" s="117"/>
      <c r="J13" s="64" t="n">
        <v>1</v>
      </c>
      <c r="K13" s="117"/>
      <c r="L13" s="64"/>
      <c r="M13" s="64"/>
      <c r="N13" s="117"/>
      <c r="O13" s="117"/>
      <c r="P13" s="117"/>
      <c r="Q13" s="117"/>
      <c r="R13" s="117"/>
      <c r="S13" s="117"/>
      <c r="T13" s="66" t="n">
        <f aca="false">$D$13*E13</f>
        <v>0</v>
      </c>
      <c r="U13" s="66" t="n">
        <f aca="false">$D$13*F13</f>
        <v>0</v>
      </c>
      <c r="V13" s="66" t="n">
        <f aca="false">$D$13*G13</f>
        <v>0</v>
      </c>
      <c r="W13" s="66" t="n">
        <f aca="false">$D$13*H13</f>
        <v>0</v>
      </c>
      <c r="X13" s="66" t="n">
        <f aca="false">$D$13*I13</f>
        <v>0</v>
      </c>
      <c r="Y13" s="66" t="n">
        <f aca="false">$D$13*J13</f>
        <v>559</v>
      </c>
      <c r="Z13" s="66" t="n">
        <f aca="false">$D$13*K13</f>
        <v>0</v>
      </c>
      <c r="AA13" s="66" t="n">
        <f aca="false">$D$13*L13</f>
        <v>0</v>
      </c>
      <c r="AB13" s="66" t="n">
        <f aca="false">$D$13*M13</f>
        <v>0</v>
      </c>
      <c r="AC13" s="66" t="n">
        <f aca="false">$D$13*N13</f>
        <v>0</v>
      </c>
      <c r="AD13" s="66" t="n">
        <f aca="false">$D$13*O13</f>
        <v>0</v>
      </c>
      <c r="AE13" s="66" t="n">
        <f aca="false">$D$13*P13</f>
        <v>0</v>
      </c>
      <c r="AF13" s="66" t="n">
        <f aca="false">$D$13*Q13</f>
        <v>0</v>
      </c>
      <c r="AG13" s="66" t="n">
        <f aca="false">$D$13*R13</f>
        <v>0</v>
      </c>
      <c r="AH13" s="66" t="n">
        <f aca="false">$D$13*S13</f>
        <v>0</v>
      </c>
      <c r="AI13" s="95" t="n">
        <f aca="false">AJ13/$AI$2</f>
        <v>0.021099116781158</v>
      </c>
      <c r="AJ13" s="66" t="n">
        <f aca="false">SUM(T13:AC13)</f>
        <v>559</v>
      </c>
    </row>
    <row r="14" customFormat="false" ht="15" hidden="false" customHeight="false" outlineLevel="0" collapsed="false">
      <c r="A14" s="52" t="n">
        <v>11</v>
      </c>
      <c r="B14" s="53" t="s">
        <v>307</v>
      </c>
      <c r="C14" s="201" t="s">
        <v>308</v>
      </c>
      <c r="D14" s="55" t="n">
        <f aca="false">VLOOKUP(C14,'[1]PREÇO ATUAL'!$A$1:$D$1048576,4,0)</f>
        <v>32.6983628145484</v>
      </c>
      <c r="E14" s="104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58" t="n">
        <f aca="false">$D$14*E14</f>
        <v>0</v>
      </c>
      <c r="U14" s="58" t="n">
        <f aca="false">$D$14*F14</f>
        <v>0</v>
      </c>
      <c r="V14" s="58" t="n">
        <f aca="false">$D$14*G14</f>
        <v>0</v>
      </c>
      <c r="W14" s="58" t="n">
        <f aca="false">$D$14*H14</f>
        <v>0</v>
      </c>
      <c r="X14" s="58" t="n">
        <f aca="false">$D$14*I14</f>
        <v>0</v>
      </c>
      <c r="Y14" s="58" t="n">
        <f aca="false">$D$14*J14</f>
        <v>0</v>
      </c>
      <c r="Z14" s="58" t="n">
        <f aca="false">$D$14*K14</f>
        <v>0</v>
      </c>
      <c r="AA14" s="58" t="n">
        <f aca="false">$D$14*L14</f>
        <v>0</v>
      </c>
      <c r="AB14" s="58" t="n">
        <f aca="false">$D$14*M14</f>
        <v>0</v>
      </c>
      <c r="AC14" s="58" t="n">
        <f aca="false">$D$14*N14</f>
        <v>0</v>
      </c>
      <c r="AD14" s="58" t="n">
        <f aca="false">$D$14*O14</f>
        <v>0</v>
      </c>
      <c r="AE14" s="58" t="n">
        <f aca="false">$D$14*P14</f>
        <v>0</v>
      </c>
      <c r="AF14" s="58" t="n">
        <f aca="false">$D$14*Q14</f>
        <v>0</v>
      </c>
      <c r="AG14" s="58" t="n">
        <f aca="false">$D$14*R14</f>
        <v>0</v>
      </c>
      <c r="AH14" s="58" t="n">
        <f aca="false">$D$14*S14</f>
        <v>0</v>
      </c>
      <c r="AI14" s="94" t="n">
        <f aca="false">AJ14/$AI$2</f>
        <v>0</v>
      </c>
      <c r="AJ14" s="58" t="n">
        <f aca="false">SUM(T14:AC14)</f>
        <v>0</v>
      </c>
    </row>
    <row r="15" customFormat="false" ht="18" hidden="false" customHeight="true" outlineLevel="0" collapsed="false">
      <c r="A15" s="60" t="n">
        <v>12</v>
      </c>
      <c r="B15" s="61" t="s">
        <v>309</v>
      </c>
      <c r="C15" s="202" t="s">
        <v>310</v>
      </c>
      <c r="D15" s="63" t="n">
        <f aca="false">VLOOKUP(C15,'[1]PREÇO ATUAL'!$A$1:$D$1048576,4,0)</f>
        <v>61.98</v>
      </c>
      <c r="E15" s="213" t="s">
        <v>311</v>
      </c>
      <c r="F15" s="213"/>
      <c r="G15" s="213"/>
      <c r="H15" s="213"/>
      <c r="I15" s="213"/>
      <c r="J15" s="213"/>
      <c r="K15" s="213"/>
      <c r="L15" s="213"/>
      <c r="M15" s="213"/>
      <c r="N15" s="213"/>
      <c r="O15" s="214"/>
      <c r="P15" s="214"/>
      <c r="Q15" s="214"/>
      <c r="R15" s="214"/>
      <c r="S15" s="214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95" t="n">
        <f aca="false">AJ15/$AI$2</f>
        <v>0</v>
      </c>
      <c r="AJ15" s="66" t="n">
        <f aca="false">SUM(T15:AC15)</f>
        <v>0</v>
      </c>
    </row>
    <row r="16" customFormat="false" ht="15" hidden="false" customHeight="false" outlineLevel="0" collapsed="false">
      <c r="A16" s="52" t="n">
        <v>13</v>
      </c>
      <c r="B16" s="53" t="s">
        <v>312</v>
      </c>
      <c r="C16" s="201" t="s">
        <v>263</v>
      </c>
      <c r="D16" s="55" t="n">
        <f aca="false">VLOOKUP(C16,'[1]PREÇO ATUAL'!$A$1:$D$1048576,4,0)</f>
        <v>98.4735649675258</v>
      </c>
      <c r="E16" s="179" t="n">
        <v>5.75</v>
      </c>
      <c r="F16" s="179" t="n">
        <v>5.75</v>
      </c>
      <c r="G16" s="179" t="n">
        <v>5.75</v>
      </c>
      <c r="H16" s="69" t="n">
        <v>5.75</v>
      </c>
      <c r="I16" s="69" t="n">
        <v>5.75</v>
      </c>
      <c r="J16" s="69" t="n">
        <v>5.75</v>
      </c>
      <c r="K16" s="69" t="n">
        <v>5.75</v>
      </c>
      <c r="L16" s="69" t="n">
        <v>5.75</v>
      </c>
      <c r="M16" s="69" t="n">
        <v>5.75</v>
      </c>
      <c r="N16" s="69" t="n">
        <v>5.75</v>
      </c>
      <c r="O16" s="69"/>
      <c r="P16" s="69"/>
      <c r="Q16" s="69"/>
      <c r="R16" s="69"/>
      <c r="S16" s="69"/>
      <c r="T16" s="58" t="n">
        <f aca="false">$D$16*E16</f>
        <v>566.222998563273</v>
      </c>
      <c r="U16" s="58" t="n">
        <f aca="false">$D$16*F16</f>
        <v>566.222998563273</v>
      </c>
      <c r="V16" s="58" t="n">
        <f aca="false">$D$16*G16</f>
        <v>566.222998563273</v>
      </c>
      <c r="W16" s="58" t="n">
        <f aca="false">$D$16*H16</f>
        <v>566.222998563273</v>
      </c>
      <c r="X16" s="58" t="n">
        <f aca="false">$D$16*I16</f>
        <v>566.222998563273</v>
      </c>
      <c r="Y16" s="58" t="n">
        <f aca="false">$D$16*J16</f>
        <v>566.222998563273</v>
      </c>
      <c r="Z16" s="58" t="n">
        <f aca="false">$D$16*K16</f>
        <v>566.222998563273</v>
      </c>
      <c r="AA16" s="58" t="n">
        <f aca="false">$D$16*L16</f>
        <v>566.222998563273</v>
      </c>
      <c r="AB16" s="58" t="n">
        <f aca="false">$D$16*M16</f>
        <v>566.222998563273</v>
      </c>
      <c r="AC16" s="58" t="n">
        <f aca="false">$D$16*N16</f>
        <v>566.222998563273</v>
      </c>
      <c r="AD16" s="58" t="n">
        <f aca="false">$D$16*O16</f>
        <v>0</v>
      </c>
      <c r="AE16" s="58" t="n">
        <f aca="false">$D$16*P16</f>
        <v>0</v>
      </c>
      <c r="AF16" s="58" t="n">
        <f aca="false">$D$16*Q16</f>
        <v>0</v>
      </c>
      <c r="AG16" s="58" t="n">
        <f aca="false">$D$16*R16</f>
        <v>0</v>
      </c>
      <c r="AH16" s="58" t="n">
        <f aca="false">$D$16*S16</f>
        <v>0</v>
      </c>
      <c r="AI16" s="94" t="n">
        <f aca="false">AJ16/$AI$2</f>
        <v>0.213717444917065</v>
      </c>
      <c r="AJ16" s="58" t="n">
        <f aca="false">SUM(T16:AC16)</f>
        <v>5662.22998563273</v>
      </c>
    </row>
    <row r="17" customFormat="false" ht="15" hidden="false" customHeight="false" outlineLevel="0" collapsed="false">
      <c r="A17" s="60" t="n">
        <v>14</v>
      </c>
      <c r="B17" s="61" t="s">
        <v>313</v>
      </c>
      <c r="C17" s="202" t="s">
        <v>65</v>
      </c>
      <c r="D17" s="63" t="n">
        <f aca="false">VLOOKUP(C17,'[1]PREÇO ATUAL'!$A$1:$D$1048576,4,0)</f>
        <v>342</v>
      </c>
      <c r="E17" s="70" t="n">
        <v>2</v>
      </c>
      <c r="F17" s="70" t="n">
        <v>2.1</v>
      </c>
      <c r="G17" s="70" t="n">
        <v>4</v>
      </c>
      <c r="H17" s="70" t="n">
        <v>2.6</v>
      </c>
      <c r="I17" s="70" t="n">
        <v>2</v>
      </c>
      <c r="J17" s="70" t="n">
        <v>4.3</v>
      </c>
      <c r="K17" s="70" t="n">
        <v>2</v>
      </c>
      <c r="L17" s="70" t="n">
        <v>2.1</v>
      </c>
      <c r="M17" s="70" t="n">
        <v>4</v>
      </c>
      <c r="N17" s="70" t="n">
        <v>1.6</v>
      </c>
      <c r="O17" s="70"/>
      <c r="P17" s="70"/>
      <c r="Q17" s="70"/>
      <c r="R17" s="70"/>
      <c r="S17" s="70"/>
      <c r="T17" s="66" t="n">
        <f aca="false">$D$17*E17</f>
        <v>684</v>
      </c>
      <c r="U17" s="66" t="n">
        <f aca="false">$D$17*F17</f>
        <v>718.2</v>
      </c>
      <c r="V17" s="66" t="n">
        <f aca="false">$D$17*G17</f>
        <v>1368</v>
      </c>
      <c r="W17" s="66" t="n">
        <f aca="false">$D$17*H17</f>
        <v>889.2</v>
      </c>
      <c r="X17" s="66" t="n">
        <f aca="false">$D$17*I17</f>
        <v>684</v>
      </c>
      <c r="Y17" s="66" t="n">
        <f aca="false">$D$17*J17</f>
        <v>1470.6</v>
      </c>
      <c r="Z17" s="66" t="n">
        <f aca="false">$D$17*K17</f>
        <v>684</v>
      </c>
      <c r="AA17" s="66" t="n">
        <f aca="false">$D$17*L17</f>
        <v>718.2</v>
      </c>
      <c r="AB17" s="66" t="n">
        <f aca="false">$D$17*M17</f>
        <v>1368</v>
      </c>
      <c r="AC17" s="66" t="n">
        <f aca="false">$D$17*N17</f>
        <v>547.2</v>
      </c>
      <c r="AD17" s="66" t="n">
        <f aca="false">$D$17*O17</f>
        <v>0</v>
      </c>
      <c r="AE17" s="66" t="n">
        <f aca="false">$D$17*P17</f>
        <v>0</v>
      </c>
      <c r="AF17" s="66" t="n">
        <f aca="false">$D$17*Q17</f>
        <v>0</v>
      </c>
      <c r="AG17" s="66" t="n">
        <f aca="false">$D$17*R17</f>
        <v>0</v>
      </c>
      <c r="AH17" s="66" t="n">
        <f aca="false">$D$17*S17</f>
        <v>0</v>
      </c>
      <c r="AI17" s="95" t="n">
        <f aca="false">AJ17/$AI$2</f>
        <v>0.344659168113535</v>
      </c>
      <c r="AJ17" s="66" t="n">
        <f aca="false">SUM(T17:AC17)</f>
        <v>9131.4</v>
      </c>
    </row>
    <row r="19" customFormat="false" ht="15" hidden="false" customHeight="true" outlineLevel="0" collapsed="false">
      <c r="A19" s="198" t="s">
        <v>314</v>
      </c>
      <c r="B19" s="198"/>
      <c r="C19" s="198"/>
      <c r="D19" s="198"/>
      <c r="E19" s="35" t="s">
        <v>29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6" t="s">
        <v>30</v>
      </c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78" t="s">
        <v>31</v>
      </c>
      <c r="AJ19" s="78"/>
    </row>
    <row r="20" customFormat="false" ht="15" hidden="false" customHeight="false" outlineLevel="0" collapsed="false">
      <c r="A20" s="198"/>
      <c r="B20" s="198"/>
      <c r="C20" s="198"/>
      <c r="D20" s="198"/>
      <c r="E20" s="41"/>
      <c r="F20" s="42"/>
      <c r="G20" s="42"/>
      <c r="H20" s="42"/>
      <c r="I20" s="42"/>
      <c r="J20" s="42"/>
      <c r="K20" s="42"/>
      <c r="L20" s="42"/>
      <c r="M20" s="42"/>
      <c r="N20" s="209"/>
      <c r="O20" s="42"/>
      <c r="P20" s="42"/>
      <c r="Q20" s="42"/>
      <c r="R20" s="42"/>
      <c r="S20" s="42"/>
      <c r="T20" s="43" t="n">
        <f aca="false">MROUND(SUM(T22:T30),1)</f>
        <v>1758</v>
      </c>
      <c r="U20" s="43" t="n">
        <f aca="false">MROUND(SUM(U22:U30),1)</f>
        <v>2472</v>
      </c>
      <c r="V20" s="43" t="n">
        <f aca="false">MROUND(SUM(V22:V30),1)</f>
        <v>2116</v>
      </c>
      <c r="W20" s="43" t="n">
        <f aca="false">MROUND(SUM(W22:W30),1)</f>
        <v>2472</v>
      </c>
      <c r="X20" s="43" t="n">
        <f aca="false">MROUND(SUM(X22:X30),1)</f>
        <v>1758</v>
      </c>
      <c r="Y20" s="43" t="n">
        <f aca="false">MROUND(SUM(Y22:Y30),1)</f>
        <v>4491</v>
      </c>
      <c r="Z20" s="43" t="n">
        <f aca="false">MROUND(SUM(Z22:Z30),1)</f>
        <v>1758</v>
      </c>
      <c r="AA20" s="43" t="n">
        <f aca="false">MROUND(SUM(AA22:AA30),1)</f>
        <v>2472</v>
      </c>
      <c r="AB20" s="43" t="n">
        <f aca="false">MROUND(SUM(AB22:AB30),1)</f>
        <v>2116</v>
      </c>
      <c r="AC20" s="43" t="n">
        <f aca="false">MROUND(SUM(AC22:AC30),1)</f>
        <v>2472</v>
      </c>
      <c r="AD20" s="43" t="n">
        <f aca="false">MROUND(SUM(AD22:AD30),1)</f>
        <v>1758</v>
      </c>
      <c r="AE20" s="43" t="n">
        <f aca="false">MROUND(SUM(AE22:AE30),1)</f>
        <v>4491</v>
      </c>
      <c r="AF20" s="43" t="n">
        <f aca="false">MROUND(SUM(AF22:AF30),1)</f>
        <v>1758</v>
      </c>
      <c r="AG20" s="43" t="n">
        <f aca="false">MROUND(SUM(AG22:AG30),1)</f>
        <v>2472</v>
      </c>
      <c r="AH20" s="43" t="n">
        <f aca="false">MROUND(SUM(AH22:AH30),1)</f>
        <v>2189</v>
      </c>
      <c r="AI20" s="44" t="n">
        <f aca="false">SUM(T20:AH20)</f>
        <v>36553</v>
      </c>
      <c r="AJ20" s="44"/>
    </row>
    <row r="21" customFormat="false" ht="15" hidden="false" customHeight="false" outlineLevel="0" collapsed="false">
      <c r="A21" s="45" t="s">
        <v>32</v>
      </c>
      <c r="B21" s="45" t="s">
        <v>33</v>
      </c>
      <c r="C21" s="46" t="s">
        <v>34</v>
      </c>
      <c r="D21" s="200" t="s">
        <v>35</v>
      </c>
      <c r="E21" s="48" t="s">
        <v>186</v>
      </c>
      <c r="F21" s="48" t="s">
        <v>187</v>
      </c>
      <c r="G21" s="48" t="s">
        <v>188</v>
      </c>
      <c r="H21" s="48" t="s">
        <v>189</v>
      </c>
      <c r="I21" s="48" t="s">
        <v>190</v>
      </c>
      <c r="J21" s="48" t="s">
        <v>191</v>
      </c>
      <c r="K21" s="48" t="s">
        <v>192</v>
      </c>
      <c r="L21" s="48" t="s">
        <v>193</v>
      </c>
      <c r="M21" s="48" t="s">
        <v>194</v>
      </c>
      <c r="N21" s="48" t="s">
        <v>195</v>
      </c>
      <c r="O21" s="50" t="s">
        <v>276</v>
      </c>
      <c r="P21" s="48" t="s">
        <v>277</v>
      </c>
      <c r="Q21" s="48" t="s">
        <v>278</v>
      </c>
      <c r="R21" s="48" t="s">
        <v>279</v>
      </c>
      <c r="S21" s="48" t="s">
        <v>280</v>
      </c>
      <c r="T21" s="48" t="n">
        <v>20000</v>
      </c>
      <c r="U21" s="48" t="n">
        <v>40000</v>
      </c>
      <c r="V21" s="48" t="n">
        <v>60000</v>
      </c>
      <c r="W21" s="48" t="n">
        <v>80000</v>
      </c>
      <c r="X21" s="48" t="n">
        <v>100000</v>
      </c>
      <c r="Y21" s="48" t="n">
        <v>120000</v>
      </c>
      <c r="Z21" s="48" t="n">
        <v>140000</v>
      </c>
      <c r="AA21" s="48" t="n">
        <v>160000</v>
      </c>
      <c r="AB21" s="48" t="n">
        <v>180000</v>
      </c>
      <c r="AC21" s="48" t="n">
        <f aca="false">AB21+20000</f>
        <v>200000</v>
      </c>
      <c r="AD21" s="48" t="n">
        <f aca="false">AC21+20000</f>
        <v>220000</v>
      </c>
      <c r="AE21" s="48" t="n">
        <f aca="false">AD21+20000</f>
        <v>240000</v>
      </c>
      <c r="AF21" s="48" t="n">
        <f aca="false">AE21+20000</f>
        <v>260000</v>
      </c>
      <c r="AG21" s="48" t="n">
        <f aca="false">AF21+20000</f>
        <v>280000</v>
      </c>
      <c r="AH21" s="48" t="n">
        <f aca="false">AG21+20000</f>
        <v>300000</v>
      </c>
      <c r="AI21" s="51" t="s">
        <v>46</v>
      </c>
      <c r="AJ21" s="45" t="s">
        <v>47</v>
      </c>
    </row>
    <row r="22" customFormat="false" ht="15" hidden="false" customHeight="false" outlineLevel="0" collapsed="false">
      <c r="A22" s="52" t="n">
        <v>1</v>
      </c>
      <c r="B22" s="53" t="s">
        <v>235</v>
      </c>
      <c r="C22" s="201" t="s">
        <v>226</v>
      </c>
      <c r="D22" s="55" t="n">
        <f aca="false">VLOOKUP(C22,'[1]PREÇO ATUAL'!$A$1:$D$1048576,4,0)</f>
        <v>110.2</v>
      </c>
      <c r="E22" s="56" t="n">
        <v>1</v>
      </c>
      <c r="F22" s="56" t="n">
        <v>1</v>
      </c>
      <c r="G22" s="56" t="n">
        <v>1</v>
      </c>
      <c r="H22" s="56" t="n">
        <v>1</v>
      </c>
      <c r="I22" s="56" t="n">
        <v>1</v>
      </c>
      <c r="J22" s="56" t="n">
        <v>1</v>
      </c>
      <c r="K22" s="56" t="n">
        <v>1</v>
      </c>
      <c r="L22" s="56" t="n">
        <v>1</v>
      </c>
      <c r="M22" s="56" t="n">
        <v>1</v>
      </c>
      <c r="N22" s="56" t="n">
        <v>1</v>
      </c>
      <c r="O22" s="56" t="n">
        <v>1</v>
      </c>
      <c r="P22" s="56" t="n">
        <v>1</v>
      </c>
      <c r="Q22" s="56" t="n">
        <v>1</v>
      </c>
      <c r="R22" s="56" t="n">
        <v>1</v>
      </c>
      <c r="S22" s="56" t="n">
        <v>1</v>
      </c>
      <c r="T22" s="58" t="n">
        <f aca="false">$D22*E22</f>
        <v>110.2</v>
      </c>
      <c r="U22" s="58" t="n">
        <f aca="false">$D22*F22</f>
        <v>110.2</v>
      </c>
      <c r="V22" s="58" t="n">
        <f aca="false">$D22*G22</f>
        <v>110.2</v>
      </c>
      <c r="W22" s="58" t="n">
        <f aca="false">$D22*H22</f>
        <v>110.2</v>
      </c>
      <c r="X22" s="58" t="n">
        <f aca="false">$D22*I22</f>
        <v>110.2</v>
      </c>
      <c r="Y22" s="58" t="n">
        <f aca="false">$D22*J22</f>
        <v>110.2</v>
      </c>
      <c r="Z22" s="58" t="n">
        <f aca="false">$D22*K22</f>
        <v>110.2</v>
      </c>
      <c r="AA22" s="58" t="n">
        <f aca="false">$D22*L22</f>
        <v>110.2</v>
      </c>
      <c r="AB22" s="58" t="n">
        <f aca="false">$D22*M22</f>
        <v>110.2</v>
      </c>
      <c r="AC22" s="58" t="n">
        <f aca="false">$D22*N22</f>
        <v>110.2</v>
      </c>
      <c r="AD22" s="58" t="n">
        <f aca="false">$D22*O22</f>
        <v>110.2</v>
      </c>
      <c r="AE22" s="58" t="n">
        <f aca="false">$D22*P22</f>
        <v>110.2</v>
      </c>
      <c r="AF22" s="58" t="n">
        <f aca="false">$D22*Q22</f>
        <v>110.2</v>
      </c>
      <c r="AG22" s="58" t="n">
        <f aca="false">$D22*R22</f>
        <v>110.2</v>
      </c>
      <c r="AH22" s="58" t="n">
        <f aca="false">$D22*S22</f>
        <v>110.2</v>
      </c>
      <c r="AI22" s="94" t="n">
        <f aca="false">AJ22/$AI$2</f>
        <v>0.0623914848644976</v>
      </c>
      <c r="AJ22" s="58" t="n">
        <f aca="false">SUM(T22:AH22)</f>
        <v>1653</v>
      </c>
    </row>
    <row r="23" customFormat="false" ht="15" hidden="false" customHeight="false" outlineLevel="0" collapsed="false">
      <c r="A23" s="60" t="n">
        <v>2</v>
      </c>
      <c r="B23" s="61" t="s">
        <v>236</v>
      </c>
      <c r="C23" s="202" t="s">
        <v>315</v>
      </c>
      <c r="D23" s="63" t="n">
        <f aca="false">VLOOKUP(C23,'[1]PREÇO ATUAL'!$A$1:$D$1048576,4,0)</f>
        <v>490</v>
      </c>
      <c r="E23" s="64" t="n">
        <v>1</v>
      </c>
      <c r="F23" s="64" t="n">
        <v>1</v>
      </c>
      <c r="G23" s="64" t="n">
        <v>1</v>
      </c>
      <c r="H23" s="64" t="n">
        <v>1</v>
      </c>
      <c r="I23" s="64" t="n">
        <v>1</v>
      </c>
      <c r="J23" s="64" t="n">
        <v>1</v>
      </c>
      <c r="K23" s="64" t="n">
        <v>1</v>
      </c>
      <c r="L23" s="64" t="n">
        <v>1</v>
      </c>
      <c r="M23" s="64" t="n">
        <v>1</v>
      </c>
      <c r="N23" s="64" t="n">
        <v>1</v>
      </c>
      <c r="O23" s="64" t="n">
        <v>1</v>
      </c>
      <c r="P23" s="64" t="n">
        <v>1</v>
      </c>
      <c r="Q23" s="64" t="n">
        <v>1</v>
      </c>
      <c r="R23" s="64" t="n">
        <v>1</v>
      </c>
      <c r="S23" s="64" t="n">
        <v>1</v>
      </c>
      <c r="T23" s="66" t="n">
        <f aca="false">$D23*E23</f>
        <v>490</v>
      </c>
      <c r="U23" s="66" t="n">
        <f aca="false">$D23*F23</f>
        <v>490</v>
      </c>
      <c r="V23" s="66" t="n">
        <f aca="false">$D23*G23</f>
        <v>490</v>
      </c>
      <c r="W23" s="66" t="n">
        <f aca="false">$D23*H23</f>
        <v>490</v>
      </c>
      <c r="X23" s="66" t="n">
        <f aca="false">$D23*I23</f>
        <v>490</v>
      </c>
      <c r="Y23" s="66" t="n">
        <f aca="false">$D23*J23</f>
        <v>490</v>
      </c>
      <c r="Z23" s="66" t="n">
        <f aca="false">$D23*K23</f>
        <v>490</v>
      </c>
      <c r="AA23" s="66" t="n">
        <f aca="false">$D23*L23</f>
        <v>490</v>
      </c>
      <c r="AB23" s="66" t="n">
        <f aca="false">$D23*M23</f>
        <v>490</v>
      </c>
      <c r="AC23" s="66" t="n">
        <f aca="false">$D23*N23</f>
        <v>490</v>
      </c>
      <c r="AD23" s="66" t="n">
        <f aca="false">$D23*O23</f>
        <v>490</v>
      </c>
      <c r="AE23" s="66" t="n">
        <f aca="false">$D23*P23</f>
        <v>490</v>
      </c>
      <c r="AF23" s="66" t="n">
        <f aca="false">$D23*Q23</f>
        <v>490</v>
      </c>
      <c r="AG23" s="66" t="n">
        <f aca="false">$D23*R23</f>
        <v>490</v>
      </c>
      <c r="AH23" s="66" t="n">
        <f aca="false">$D23*S23</f>
        <v>490</v>
      </c>
      <c r="AI23" s="95" t="n">
        <f aca="false">AJ23/$AI$2</f>
        <v>0.277421302936514</v>
      </c>
      <c r="AJ23" s="66" t="n">
        <f aca="false">SUM(T23:AH23)</f>
        <v>7350</v>
      </c>
    </row>
    <row r="24" customFormat="false" ht="15" hidden="false" customHeight="false" outlineLevel="0" collapsed="false">
      <c r="A24" s="52" t="n">
        <v>3</v>
      </c>
      <c r="B24" s="53" t="s">
        <v>68</v>
      </c>
      <c r="C24" s="201" t="s">
        <v>316</v>
      </c>
      <c r="D24" s="55" t="n">
        <f aca="false">VLOOKUP(C24,'[1]PREÇO ATUAL'!$A$1:$D$1048576,4,0)</f>
        <v>168.9</v>
      </c>
      <c r="E24" s="56" t="n">
        <v>1</v>
      </c>
      <c r="F24" s="56" t="n">
        <v>1</v>
      </c>
      <c r="G24" s="56" t="n">
        <v>1</v>
      </c>
      <c r="H24" s="56" t="n">
        <v>1</v>
      </c>
      <c r="I24" s="56" t="n">
        <v>1</v>
      </c>
      <c r="J24" s="56" t="n">
        <v>1</v>
      </c>
      <c r="K24" s="56" t="n">
        <v>1</v>
      </c>
      <c r="L24" s="56" t="n">
        <v>1</v>
      </c>
      <c r="M24" s="56" t="n">
        <v>1</v>
      </c>
      <c r="N24" s="56" t="n">
        <v>1</v>
      </c>
      <c r="O24" s="56" t="n">
        <v>1</v>
      </c>
      <c r="P24" s="56" t="n">
        <v>1</v>
      </c>
      <c r="Q24" s="56" t="n">
        <v>1</v>
      </c>
      <c r="R24" s="56" t="n">
        <v>1</v>
      </c>
      <c r="S24" s="56" t="n">
        <v>1</v>
      </c>
      <c r="T24" s="58" t="n">
        <f aca="false">$D24*E24</f>
        <v>168.9</v>
      </c>
      <c r="U24" s="58" t="n">
        <f aca="false">$D24*F24</f>
        <v>168.9</v>
      </c>
      <c r="V24" s="58" t="n">
        <f aca="false">$D24*G24</f>
        <v>168.9</v>
      </c>
      <c r="W24" s="58" t="n">
        <f aca="false">$D24*H24</f>
        <v>168.9</v>
      </c>
      <c r="X24" s="58" t="n">
        <f aca="false">$D24*I24</f>
        <v>168.9</v>
      </c>
      <c r="Y24" s="58" t="n">
        <f aca="false">$D24*J24</f>
        <v>168.9</v>
      </c>
      <c r="Z24" s="58" t="n">
        <f aca="false">$D24*K24</f>
        <v>168.9</v>
      </c>
      <c r="AA24" s="58" t="n">
        <f aca="false">$D24*L24</f>
        <v>168.9</v>
      </c>
      <c r="AB24" s="58" t="n">
        <f aca="false">$D24*M24</f>
        <v>168.9</v>
      </c>
      <c r="AC24" s="58" t="n">
        <f aca="false">$D24*N24</f>
        <v>168.9</v>
      </c>
      <c r="AD24" s="58" t="n">
        <f aca="false">$D24*O24</f>
        <v>168.9</v>
      </c>
      <c r="AE24" s="58" t="n">
        <f aca="false">$D24*P24</f>
        <v>168.9</v>
      </c>
      <c r="AF24" s="58" t="n">
        <f aca="false">$D24*Q24</f>
        <v>168.9</v>
      </c>
      <c r="AG24" s="58" t="n">
        <f aca="false">$D24*R24</f>
        <v>168.9</v>
      </c>
      <c r="AH24" s="58" t="n">
        <f aca="false">$D24*S24</f>
        <v>168.9</v>
      </c>
      <c r="AI24" s="94" t="n">
        <f aca="false">AJ24/$AI$2</f>
        <v>0.0956254246244433</v>
      </c>
      <c r="AJ24" s="58" t="n">
        <f aca="false">SUM(T24:AH24)</f>
        <v>2533.5</v>
      </c>
    </row>
    <row r="25" customFormat="false" ht="23.25" hidden="false" customHeight="false" outlineLevel="0" collapsed="false">
      <c r="A25" s="60" t="n">
        <v>4</v>
      </c>
      <c r="B25" s="73" t="s">
        <v>317</v>
      </c>
      <c r="C25" s="202" t="s">
        <v>283</v>
      </c>
      <c r="D25" s="63" t="n">
        <f aca="false">VLOOKUP(C25,'[1]PREÇO ATUAL'!$A$1:$D$1048576,4,0)</f>
        <v>289</v>
      </c>
      <c r="E25" s="64"/>
      <c r="F25" s="64"/>
      <c r="G25" s="64" t="n">
        <v>1</v>
      </c>
      <c r="H25" s="64"/>
      <c r="I25" s="64"/>
      <c r="J25" s="64" t="n">
        <v>1</v>
      </c>
      <c r="K25" s="64"/>
      <c r="L25" s="64"/>
      <c r="M25" s="64" t="n">
        <v>1</v>
      </c>
      <c r="N25" s="64"/>
      <c r="O25" s="64"/>
      <c r="P25" s="64" t="n">
        <v>1</v>
      </c>
      <c r="Q25" s="64"/>
      <c r="R25" s="64"/>
      <c r="S25" s="64" t="n">
        <v>1</v>
      </c>
      <c r="T25" s="66" t="n">
        <f aca="false">$D25*E25</f>
        <v>0</v>
      </c>
      <c r="U25" s="66" t="n">
        <f aca="false">$D25*F25</f>
        <v>0</v>
      </c>
      <c r="V25" s="66" t="n">
        <f aca="false">$D25*G25</f>
        <v>289</v>
      </c>
      <c r="W25" s="66" t="n">
        <f aca="false">$D25*H25</f>
        <v>0</v>
      </c>
      <c r="X25" s="66" t="n">
        <f aca="false">$D25*I25</f>
        <v>0</v>
      </c>
      <c r="Y25" s="66" t="n">
        <f aca="false">$D25*J25</f>
        <v>289</v>
      </c>
      <c r="Z25" s="66" t="n">
        <f aca="false">$D25*K25</f>
        <v>0</v>
      </c>
      <c r="AA25" s="66" t="n">
        <f aca="false">$D25*L25</f>
        <v>0</v>
      </c>
      <c r="AB25" s="66" t="n">
        <f aca="false">$D25*M25</f>
        <v>289</v>
      </c>
      <c r="AC25" s="66" t="n">
        <f aca="false">$D25*N25</f>
        <v>0</v>
      </c>
      <c r="AD25" s="66" t="n">
        <f aca="false">$D25*O25</f>
        <v>0</v>
      </c>
      <c r="AE25" s="66" t="n">
        <f aca="false">$D25*P25</f>
        <v>289</v>
      </c>
      <c r="AF25" s="66" t="n">
        <f aca="false">$D25*Q25</f>
        <v>0</v>
      </c>
      <c r="AG25" s="66" t="n">
        <f aca="false">$D25*R25</f>
        <v>0</v>
      </c>
      <c r="AH25" s="66" t="n">
        <f aca="false">$D25*S25</f>
        <v>289</v>
      </c>
      <c r="AI25" s="95" t="n">
        <f aca="false">AJ25/$AI$2</f>
        <v>0.0545406507133691</v>
      </c>
      <c r="AJ25" s="66" t="n">
        <f aca="false">SUM(T25:AH25)</f>
        <v>1445</v>
      </c>
    </row>
    <row r="26" customFormat="false" ht="27" hidden="false" customHeight="true" outlineLevel="0" collapsed="false">
      <c r="A26" s="52" t="n">
        <v>5</v>
      </c>
      <c r="B26" s="72" t="s">
        <v>318</v>
      </c>
      <c r="C26" s="201" t="s">
        <v>232</v>
      </c>
      <c r="D26" s="55" t="n">
        <f aca="false">VLOOKUP(C26,'[1]PREÇO ATUAL'!$A$1:$D$1048576,4,0)</f>
        <v>567.55</v>
      </c>
      <c r="E26" s="56"/>
      <c r="F26" s="56"/>
      <c r="G26" s="56"/>
      <c r="H26" s="56"/>
      <c r="I26" s="56"/>
      <c r="J26" s="56" t="n">
        <v>1</v>
      </c>
      <c r="K26" s="56"/>
      <c r="L26" s="56"/>
      <c r="M26" s="56"/>
      <c r="N26" s="56"/>
      <c r="O26" s="56"/>
      <c r="P26" s="56" t="n">
        <v>1</v>
      </c>
      <c r="Q26" s="56"/>
      <c r="R26" s="56"/>
      <c r="S26" s="56"/>
      <c r="T26" s="58" t="n">
        <f aca="false">$D26*E26</f>
        <v>0</v>
      </c>
      <c r="U26" s="58" t="n">
        <f aca="false">$D26*F26</f>
        <v>0</v>
      </c>
      <c r="V26" s="58" t="n">
        <f aca="false">$D26*G26</f>
        <v>0</v>
      </c>
      <c r="W26" s="58" t="n">
        <f aca="false">$D26*H26</f>
        <v>0</v>
      </c>
      <c r="X26" s="58" t="n">
        <f aca="false">$D26*I26</f>
        <v>0</v>
      </c>
      <c r="Y26" s="58" t="n">
        <f aca="false">$D26*J26</f>
        <v>567.55</v>
      </c>
      <c r="Z26" s="58" t="n">
        <f aca="false">$D26*K26</f>
        <v>0</v>
      </c>
      <c r="AA26" s="58" t="n">
        <f aca="false">$D26*L26</f>
        <v>0</v>
      </c>
      <c r="AB26" s="58" t="n">
        <f aca="false">$D26*M26</f>
        <v>0</v>
      </c>
      <c r="AC26" s="58" t="n">
        <f aca="false">$D26*N26</f>
        <v>0</v>
      </c>
      <c r="AD26" s="58" t="n">
        <f aca="false">$D26*O26</f>
        <v>0</v>
      </c>
      <c r="AE26" s="58" t="n">
        <f aca="false">$D26*P26</f>
        <v>567.55</v>
      </c>
      <c r="AF26" s="58" t="n">
        <f aca="false">$D26*Q26</f>
        <v>0</v>
      </c>
      <c r="AG26" s="58" t="n">
        <f aca="false">$D26*R26</f>
        <v>0</v>
      </c>
      <c r="AH26" s="58" t="n">
        <f aca="false">$D26*S26</f>
        <v>0</v>
      </c>
      <c r="AI26" s="94" t="n">
        <f aca="false">AJ26/$AI$2</f>
        <v>0.0428436627160867</v>
      </c>
      <c r="AJ26" s="58" t="n">
        <f aca="false">SUM(T26:AH26)</f>
        <v>1135.1</v>
      </c>
    </row>
    <row r="27" customFormat="false" ht="23.25" hidden="false" customHeight="false" outlineLevel="0" collapsed="false">
      <c r="A27" s="60" t="n">
        <v>6</v>
      </c>
      <c r="B27" s="73" t="s">
        <v>319</v>
      </c>
      <c r="C27" s="202" t="s">
        <v>286</v>
      </c>
      <c r="D27" s="63" t="n">
        <f aca="false">VLOOKUP(C27,'[1]PREÇO ATUAL'!$A$1:$D$1048576,4,0)</f>
        <v>580.293252</v>
      </c>
      <c r="E27" s="117"/>
      <c r="F27" s="117" t="n">
        <v>0.7</v>
      </c>
      <c r="G27" s="64"/>
      <c r="H27" s="117" t="n">
        <v>0.7</v>
      </c>
      <c r="I27" s="117"/>
      <c r="J27" s="117" t="n">
        <v>0.7</v>
      </c>
      <c r="K27" s="117"/>
      <c r="L27" s="117" t="n">
        <v>0.7</v>
      </c>
      <c r="M27" s="64"/>
      <c r="N27" s="117" t="n">
        <v>0.7</v>
      </c>
      <c r="O27" s="117"/>
      <c r="P27" s="117" t="n">
        <v>0.7</v>
      </c>
      <c r="Q27" s="117"/>
      <c r="R27" s="117" t="n">
        <v>0.7</v>
      </c>
      <c r="S27" s="117"/>
      <c r="T27" s="66" t="n">
        <f aca="false">$D27*E27</f>
        <v>0</v>
      </c>
      <c r="U27" s="66" t="n">
        <f aca="false">$D27*F27</f>
        <v>406.2052764</v>
      </c>
      <c r="V27" s="66" t="n">
        <f aca="false">$D27*G27</f>
        <v>0</v>
      </c>
      <c r="W27" s="66" t="n">
        <f aca="false">$D27*H27</f>
        <v>406.2052764</v>
      </c>
      <c r="X27" s="66" t="n">
        <f aca="false">$D27*I27</f>
        <v>0</v>
      </c>
      <c r="Y27" s="66" t="n">
        <f aca="false">$D27*J27</f>
        <v>406.2052764</v>
      </c>
      <c r="Z27" s="66" t="n">
        <f aca="false">$D27*K27</f>
        <v>0</v>
      </c>
      <c r="AA27" s="66" t="n">
        <f aca="false">$D27*L27</f>
        <v>406.2052764</v>
      </c>
      <c r="AB27" s="66" t="n">
        <f aca="false">$D27*M27</f>
        <v>0</v>
      </c>
      <c r="AC27" s="66" t="n">
        <f aca="false">$D27*N27</f>
        <v>406.2052764</v>
      </c>
      <c r="AD27" s="66" t="n">
        <f aca="false">$D27*O27</f>
        <v>0</v>
      </c>
      <c r="AE27" s="66" t="n">
        <f aca="false">$D27*P27</f>
        <v>406.2052764</v>
      </c>
      <c r="AF27" s="66" t="n">
        <f aca="false">$D27*Q27</f>
        <v>0</v>
      </c>
      <c r="AG27" s="66" t="n">
        <f aca="false">$D27*R27</f>
        <v>406.2052764</v>
      </c>
      <c r="AH27" s="66" t="n">
        <f aca="false">$D27*S27</f>
        <v>0</v>
      </c>
      <c r="AI27" s="95" t="n">
        <f aca="false">AJ27/$AI$2</f>
        <v>0.107323806703405</v>
      </c>
      <c r="AJ27" s="66" t="n">
        <f aca="false">SUM(T27:AH27)</f>
        <v>2843.4369348</v>
      </c>
    </row>
    <row r="28" customFormat="false" ht="27" hidden="false" customHeight="true" outlineLevel="0" collapsed="false">
      <c r="A28" s="52" t="n">
        <v>7</v>
      </c>
      <c r="B28" s="72" t="s">
        <v>320</v>
      </c>
      <c r="C28" s="201" t="s">
        <v>212</v>
      </c>
      <c r="D28" s="55" t="n">
        <f aca="false">VLOOKUP(C28,'[1]PREÇO ATUAL'!$A$1:$D$1048576,4,0)</f>
        <v>0</v>
      </c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8" t="n">
        <f aca="false">$D28*E28</f>
        <v>0</v>
      </c>
      <c r="U28" s="58" t="n">
        <f aca="false">$D28*F28</f>
        <v>0</v>
      </c>
      <c r="V28" s="58" t="n">
        <f aca="false">$D28*G28</f>
        <v>0</v>
      </c>
      <c r="W28" s="58" t="n">
        <f aca="false">$D28*H28</f>
        <v>0</v>
      </c>
      <c r="X28" s="58" t="n">
        <f aca="false">$D28*I28</f>
        <v>0</v>
      </c>
      <c r="Y28" s="58" t="n">
        <f aca="false">$D28*J28</f>
        <v>0</v>
      </c>
      <c r="Z28" s="58" t="n">
        <f aca="false">$D28*K28</f>
        <v>0</v>
      </c>
      <c r="AA28" s="58" t="n">
        <f aca="false">$D28*L28</f>
        <v>0</v>
      </c>
      <c r="AB28" s="58" t="n">
        <f aca="false">$D28*M28</f>
        <v>0</v>
      </c>
      <c r="AC28" s="58" t="n">
        <f aca="false">$D28*N28</f>
        <v>0</v>
      </c>
      <c r="AD28" s="58" t="n">
        <f aca="false">$D28*O28</f>
        <v>0</v>
      </c>
      <c r="AE28" s="58" t="n">
        <f aca="false">$D28*P28</f>
        <v>0</v>
      </c>
      <c r="AF28" s="58" t="n">
        <f aca="false">$D28*Q28</f>
        <v>0</v>
      </c>
      <c r="AG28" s="58" t="n">
        <f aca="false">$D28*R28</f>
        <v>0</v>
      </c>
      <c r="AH28" s="58" t="n">
        <f aca="false">$D28*S28</f>
        <v>0</v>
      </c>
      <c r="AI28" s="94"/>
      <c r="AJ28" s="58" t="n">
        <f aca="false">SUM(T28:AH28)</f>
        <v>0</v>
      </c>
    </row>
    <row r="29" customFormat="false" ht="13.85" hidden="false" customHeight="false" outlineLevel="0" collapsed="false">
      <c r="A29" s="60" t="n">
        <v>8</v>
      </c>
      <c r="B29" s="73" t="s">
        <v>321</v>
      </c>
      <c r="C29" s="202" t="s">
        <v>223</v>
      </c>
      <c r="D29" s="63" t="n">
        <f aca="false">VLOOKUP(C29,'[1]PREÇO ATUAL'!$A$1:$D$1048576,4,0)</f>
        <v>91.54</v>
      </c>
      <c r="E29" s="215" t="n">
        <v>5.2</v>
      </c>
      <c r="F29" s="215" t="n">
        <v>5.2</v>
      </c>
      <c r="G29" s="215" t="n">
        <v>5.2</v>
      </c>
      <c r="H29" s="215" t="n">
        <v>5.2</v>
      </c>
      <c r="I29" s="215" t="n">
        <v>5.2</v>
      </c>
      <c r="J29" s="215" t="n">
        <v>5.2</v>
      </c>
      <c r="K29" s="215" t="n">
        <v>5.2</v>
      </c>
      <c r="L29" s="215" t="n">
        <v>5.2</v>
      </c>
      <c r="M29" s="215" t="n">
        <v>5.2</v>
      </c>
      <c r="N29" s="215" t="n">
        <v>5.2</v>
      </c>
      <c r="O29" s="215" t="n">
        <v>5.2</v>
      </c>
      <c r="P29" s="215" t="n">
        <v>5.2</v>
      </c>
      <c r="Q29" s="215" t="n">
        <v>5.2</v>
      </c>
      <c r="R29" s="215" t="n">
        <v>5.2</v>
      </c>
      <c r="S29" s="215" t="n">
        <v>6</v>
      </c>
      <c r="T29" s="66" t="n">
        <f aca="false">$D29*E29</f>
        <v>476.008</v>
      </c>
      <c r="U29" s="66" t="n">
        <f aca="false">$D29*F29</f>
        <v>476.008</v>
      </c>
      <c r="V29" s="66" t="n">
        <f aca="false">$D29*G29</f>
        <v>476.008</v>
      </c>
      <c r="W29" s="66" t="n">
        <f aca="false">$D29*H29</f>
        <v>476.008</v>
      </c>
      <c r="X29" s="66" t="n">
        <f aca="false">$D29*I29</f>
        <v>476.008</v>
      </c>
      <c r="Y29" s="66" t="n">
        <f aca="false">$D29*J29</f>
        <v>476.008</v>
      </c>
      <c r="Z29" s="66" t="n">
        <f aca="false">$D29*K29</f>
        <v>476.008</v>
      </c>
      <c r="AA29" s="66" t="n">
        <f aca="false">$D29*L29</f>
        <v>476.008</v>
      </c>
      <c r="AB29" s="66" t="n">
        <f aca="false">$D29*M29</f>
        <v>476.008</v>
      </c>
      <c r="AC29" s="66" t="n">
        <f aca="false">$D29*N29</f>
        <v>476.008</v>
      </c>
      <c r="AD29" s="66" t="n">
        <f aca="false">$D29*O29</f>
        <v>476.008</v>
      </c>
      <c r="AE29" s="66" t="n">
        <f aca="false">$D29*P29</f>
        <v>476.008</v>
      </c>
      <c r="AF29" s="66" t="n">
        <f aca="false">$D29*Q29</f>
        <v>476.008</v>
      </c>
      <c r="AG29" s="66" t="n">
        <f aca="false">$D29*R29</f>
        <v>476.008</v>
      </c>
      <c r="AH29" s="66" t="n">
        <f aca="false">$D29*S29</f>
        <v>549.24</v>
      </c>
      <c r="AI29" s="95" t="n">
        <f aca="false">AJ29/$AI$2</f>
        <v>0.272263606854382</v>
      </c>
      <c r="AJ29" s="66" t="n">
        <f aca="false">SUM(T29:AH29)</f>
        <v>7213.352</v>
      </c>
    </row>
    <row r="30" customFormat="false" ht="15" hidden="false" customHeight="false" outlineLevel="0" collapsed="false">
      <c r="A30" s="52" t="n">
        <v>9</v>
      </c>
      <c r="B30" s="72" t="s">
        <v>313</v>
      </c>
      <c r="C30" s="201" t="s">
        <v>65</v>
      </c>
      <c r="D30" s="55" t="n">
        <f aca="false">VLOOKUP(C30,'[1]PREÇO ATUAL'!$A$1:$D$1048576,4,0)</f>
        <v>342</v>
      </c>
      <c r="E30" s="216" t="n">
        <v>1.5</v>
      </c>
      <c r="F30" s="216" t="n">
        <v>2.4</v>
      </c>
      <c r="G30" s="216" t="n">
        <v>1.7</v>
      </c>
      <c r="H30" s="216" t="n">
        <v>2.4</v>
      </c>
      <c r="I30" s="216" t="n">
        <v>1.5</v>
      </c>
      <c r="J30" s="216" t="n">
        <v>5.8</v>
      </c>
      <c r="K30" s="216" t="n">
        <v>1.5</v>
      </c>
      <c r="L30" s="216" t="n">
        <v>2.4</v>
      </c>
      <c r="M30" s="216" t="n">
        <v>1.7</v>
      </c>
      <c r="N30" s="216" t="n">
        <v>2.4</v>
      </c>
      <c r="O30" s="216" t="n">
        <v>1.5</v>
      </c>
      <c r="P30" s="216" t="n">
        <v>5.8</v>
      </c>
      <c r="Q30" s="216" t="n">
        <v>1.5</v>
      </c>
      <c r="R30" s="216" t="n">
        <v>2.4</v>
      </c>
      <c r="S30" s="216" t="n">
        <v>1.7</v>
      </c>
      <c r="T30" s="58" t="n">
        <f aca="false">$D30*E30</f>
        <v>513</v>
      </c>
      <c r="U30" s="58" t="n">
        <f aca="false">$D30*F30</f>
        <v>820.8</v>
      </c>
      <c r="V30" s="58" t="n">
        <f aca="false">$D30*G30</f>
        <v>581.4</v>
      </c>
      <c r="W30" s="58" t="n">
        <f aca="false">$D30*H30</f>
        <v>820.8</v>
      </c>
      <c r="X30" s="58" t="n">
        <f aca="false">$D30*I30</f>
        <v>513</v>
      </c>
      <c r="Y30" s="58" t="n">
        <f aca="false">$D30*J30</f>
        <v>1983.6</v>
      </c>
      <c r="Z30" s="58" t="n">
        <f aca="false">$D30*K30</f>
        <v>513</v>
      </c>
      <c r="AA30" s="58" t="n">
        <f aca="false">$D30*L30</f>
        <v>820.8</v>
      </c>
      <c r="AB30" s="58" t="n">
        <f aca="false">$D30*M30</f>
        <v>581.4</v>
      </c>
      <c r="AC30" s="58" t="n">
        <f aca="false">$D30*N30</f>
        <v>820.8</v>
      </c>
      <c r="AD30" s="58" t="n">
        <f aca="false">$D30*O30</f>
        <v>513</v>
      </c>
      <c r="AE30" s="58" t="n">
        <f aca="false">$D30*P30</f>
        <v>1983.6</v>
      </c>
      <c r="AF30" s="58" t="n">
        <f aca="false">$D30*Q30</f>
        <v>513</v>
      </c>
      <c r="AG30" s="58" t="n">
        <f aca="false">$D30*R30</f>
        <v>820.8</v>
      </c>
      <c r="AH30" s="58" t="n">
        <f aca="false">$D30*S30</f>
        <v>581.4</v>
      </c>
      <c r="AI30" s="94" t="n">
        <f aca="false">AJ30/$AI$2</f>
        <v>0.467290707329962</v>
      </c>
      <c r="AJ30" s="58" t="n">
        <f aca="false">SUM(T30:AH30)</f>
        <v>12380.4</v>
      </c>
    </row>
    <row r="31" customFormat="false" ht="15" hidden="false" customHeight="false" outlineLevel="0" collapsed="false">
      <c r="F31" s="71"/>
      <c r="H31" s="71"/>
      <c r="J31" s="71"/>
      <c r="L31" s="71"/>
      <c r="N31" s="71"/>
      <c r="O31" s="71"/>
      <c r="P31" s="71"/>
      <c r="Q31" s="71"/>
      <c r="R31" s="71"/>
      <c r="S31" s="71"/>
    </row>
    <row r="32" customFormat="false" ht="15" hidden="false" customHeight="true" outlineLevel="0" collapsed="false">
      <c r="A32" s="198" t="s">
        <v>322</v>
      </c>
      <c r="B32" s="198"/>
      <c r="C32" s="198"/>
      <c r="D32" s="198"/>
      <c r="E32" s="217" t="s">
        <v>29</v>
      </c>
      <c r="F32" s="217"/>
      <c r="G32" s="217"/>
      <c r="H32" s="217"/>
      <c r="I32" s="217"/>
      <c r="J32" s="217"/>
      <c r="K32" s="217"/>
      <c r="L32" s="217"/>
      <c r="M32" s="217"/>
      <c r="N32" s="217"/>
      <c r="O32" s="218"/>
      <c r="P32" s="218"/>
      <c r="Q32" s="218"/>
      <c r="R32" s="218"/>
      <c r="S32" s="218"/>
      <c r="T32" s="208" t="s">
        <v>30</v>
      </c>
      <c r="U32" s="208"/>
      <c r="V32" s="208"/>
      <c r="W32" s="208"/>
      <c r="X32" s="208"/>
      <c r="Y32" s="208"/>
      <c r="Z32" s="208"/>
      <c r="AA32" s="208"/>
      <c r="AB32" s="208"/>
      <c r="AC32" s="208"/>
      <c r="AD32" s="219"/>
      <c r="AE32" s="219"/>
      <c r="AF32" s="219"/>
      <c r="AG32" s="219"/>
      <c r="AH32" s="219"/>
      <c r="AI32" s="78" t="s">
        <v>31</v>
      </c>
      <c r="AJ32" s="78"/>
    </row>
    <row r="33" customFormat="false" ht="15" hidden="false" customHeight="true" outlineLevel="0" collapsed="false">
      <c r="A33" s="198"/>
      <c r="B33" s="198"/>
      <c r="C33" s="198"/>
      <c r="D33" s="198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78"/>
      <c r="P33" s="78"/>
      <c r="Q33" s="78"/>
      <c r="R33" s="78"/>
      <c r="S33" s="78"/>
      <c r="T33" s="43" t="n">
        <f aca="false">MROUND(SUM(T35:T37),1)</f>
        <v>706</v>
      </c>
      <c r="U33" s="43" t="n">
        <f aca="false">MROUND(SUM(U35:U37),1)</f>
        <v>706</v>
      </c>
      <c r="V33" s="43" t="n">
        <f aca="false">MROUND(SUM(V35:V37),1)</f>
        <v>706</v>
      </c>
      <c r="W33" s="43" t="n">
        <f aca="false">MROUND(SUM(W35:W37),1)</f>
        <v>1497</v>
      </c>
      <c r="X33" s="43" t="n">
        <f aca="false">MROUND(SUM(X35:X37),1)</f>
        <v>706</v>
      </c>
      <c r="Y33" s="43" t="n">
        <f aca="false">MROUND(SUM(Y35:Y37),1)</f>
        <v>706</v>
      </c>
      <c r="Z33" s="43" t="n">
        <f aca="false">MROUND(SUM(Z35:Z37),1)</f>
        <v>706</v>
      </c>
      <c r="AA33" s="43" t="n">
        <f aca="false">MROUND(SUM(AA35:AA37),1)</f>
        <v>1497</v>
      </c>
      <c r="AB33" s="43" t="n">
        <f aca="false">MROUND(SUM(AB35:AB37),1)</f>
        <v>706</v>
      </c>
      <c r="AC33" s="43" t="n">
        <f aca="false">MROUND(SUM(AC35:AC37),1)</f>
        <v>706</v>
      </c>
      <c r="AD33" s="43" t="n">
        <f aca="false">MROUND(SUM(AD35:AD37),1)</f>
        <v>0</v>
      </c>
      <c r="AE33" s="43" t="n">
        <f aca="false">MROUND(SUM(AE35:AE37),1)</f>
        <v>0</v>
      </c>
      <c r="AF33" s="43" t="n">
        <f aca="false">MROUND(SUM(AF35:AF37),1)</f>
        <v>0</v>
      </c>
      <c r="AG33" s="43" t="n">
        <f aca="false">MROUND(SUM(AG35:AG37),1)</f>
        <v>0</v>
      </c>
      <c r="AH33" s="43" t="n">
        <f aca="false">MROUND(SUM(AH35:AH37),1)</f>
        <v>0</v>
      </c>
      <c r="AI33" s="44" t="n">
        <f aca="false">SUM(T33:AC33)</f>
        <v>8642</v>
      </c>
      <c r="AJ33" s="44"/>
    </row>
    <row r="34" customFormat="false" ht="15" hidden="false" customHeight="false" outlineLevel="0" collapsed="false">
      <c r="A34" s="45" t="s">
        <v>32</v>
      </c>
      <c r="B34" s="45" t="s">
        <v>33</v>
      </c>
      <c r="C34" s="46" t="s">
        <v>34</v>
      </c>
      <c r="D34" s="200" t="s">
        <v>35</v>
      </c>
      <c r="E34" s="48" t="s">
        <v>186</v>
      </c>
      <c r="F34" s="48" t="s">
        <v>187</v>
      </c>
      <c r="G34" s="48" t="s">
        <v>188</v>
      </c>
      <c r="H34" s="48" t="s">
        <v>189</v>
      </c>
      <c r="I34" s="48" t="s">
        <v>190</v>
      </c>
      <c r="J34" s="48" t="s">
        <v>191</v>
      </c>
      <c r="K34" s="48" t="s">
        <v>192</v>
      </c>
      <c r="L34" s="48" t="s">
        <v>193</v>
      </c>
      <c r="M34" s="48" t="s">
        <v>194</v>
      </c>
      <c r="N34" s="48" t="s">
        <v>195</v>
      </c>
      <c r="O34" s="50" t="s">
        <v>276</v>
      </c>
      <c r="P34" s="48" t="s">
        <v>277</v>
      </c>
      <c r="Q34" s="48" t="s">
        <v>278</v>
      </c>
      <c r="R34" s="48" t="s">
        <v>279</v>
      </c>
      <c r="S34" s="48" t="s">
        <v>280</v>
      </c>
      <c r="T34" s="48" t="n">
        <v>20000</v>
      </c>
      <c r="U34" s="48" t="n">
        <v>40000</v>
      </c>
      <c r="V34" s="48" t="n">
        <v>60000</v>
      </c>
      <c r="W34" s="48" t="n">
        <v>80000</v>
      </c>
      <c r="X34" s="48" t="n">
        <v>100000</v>
      </c>
      <c r="Y34" s="50" t="n">
        <v>120000</v>
      </c>
      <c r="Z34" s="50" t="n">
        <v>140000</v>
      </c>
      <c r="AA34" s="50" t="n">
        <v>160000</v>
      </c>
      <c r="AB34" s="50" t="n">
        <v>180000</v>
      </c>
      <c r="AC34" s="50" t="n">
        <f aca="false">AB34+20000</f>
        <v>200000</v>
      </c>
      <c r="AD34" s="50" t="n">
        <f aca="false">AC34+20000</f>
        <v>220000</v>
      </c>
      <c r="AE34" s="50" t="n">
        <f aca="false">AD34+20000</f>
        <v>240000</v>
      </c>
      <c r="AF34" s="50" t="n">
        <f aca="false">AE34+20000</f>
        <v>260000</v>
      </c>
      <c r="AG34" s="50" t="n">
        <f aca="false">AF34+20000</f>
        <v>280000</v>
      </c>
      <c r="AH34" s="50" t="n">
        <f aca="false">AG34+20000</f>
        <v>300000</v>
      </c>
      <c r="AI34" s="51" t="s">
        <v>46</v>
      </c>
      <c r="AJ34" s="45" t="s">
        <v>47</v>
      </c>
    </row>
    <row r="35" customFormat="false" ht="15" hidden="false" customHeight="false" outlineLevel="0" collapsed="false">
      <c r="A35" s="52" t="n">
        <v>1</v>
      </c>
      <c r="B35" s="53" t="s">
        <v>296</v>
      </c>
      <c r="C35" s="201" t="s">
        <v>297</v>
      </c>
      <c r="D35" s="55" t="n">
        <f aca="false">VLOOKUP(C35,'[1]PREÇO ATUAL'!$A$1:$D$1048576,4,0)</f>
        <v>158.84</v>
      </c>
      <c r="E35" s="56" t="n">
        <v>1</v>
      </c>
      <c r="F35" s="56" t="n">
        <v>1</v>
      </c>
      <c r="G35" s="56" t="n">
        <v>1</v>
      </c>
      <c r="H35" s="56" t="n">
        <v>1</v>
      </c>
      <c r="I35" s="56" t="n">
        <v>1</v>
      </c>
      <c r="J35" s="56" t="n">
        <v>1</v>
      </c>
      <c r="K35" s="56" t="n">
        <v>1</v>
      </c>
      <c r="L35" s="56" t="n">
        <v>1</v>
      </c>
      <c r="M35" s="56" t="n">
        <v>1</v>
      </c>
      <c r="N35" s="56" t="n">
        <v>1</v>
      </c>
      <c r="O35" s="56"/>
      <c r="P35" s="56"/>
      <c r="Q35" s="56"/>
      <c r="R35" s="56"/>
      <c r="S35" s="56"/>
      <c r="T35" s="58" t="n">
        <f aca="false">$D$35*E35</f>
        <v>158.84</v>
      </c>
      <c r="U35" s="58" t="n">
        <f aca="false">$D$35*F35</f>
        <v>158.84</v>
      </c>
      <c r="V35" s="58" t="n">
        <f aca="false">$D$35*G35</f>
        <v>158.84</v>
      </c>
      <c r="W35" s="58" t="n">
        <f aca="false">$D$35*H35</f>
        <v>158.84</v>
      </c>
      <c r="X35" s="58" t="n">
        <f aca="false">$D$35*I35</f>
        <v>158.84</v>
      </c>
      <c r="Y35" s="115" t="n">
        <f aca="false">$D$35*J35</f>
        <v>158.84</v>
      </c>
      <c r="Z35" s="115" t="n">
        <f aca="false">$D$35*K35</f>
        <v>158.84</v>
      </c>
      <c r="AA35" s="115" t="n">
        <f aca="false">$D$35*L35</f>
        <v>158.84</v>
      </c>
      <c r="AB35" s="115" t="n">
        <f aca="false">$D$35*M35</f>
        <v>158.84</v>
      </c>
      <c r="AC35" s="115" t="n">
        <f aca="false">$D$35*N35</f>
        <v>158.84</v>
      </c>
      <c r="AD35" s="115" t="n">
        <f aca="false">$D$35*O35</f>
        <v>0</v>
      </c>
      <c r="AE35" s="115" t="n">
        <f aca="false">$D$35*P35</f>
        <v>0</v>
      </c>
      <c r="AF35" s="115" t="n">
        <f aca="false">$D$35*Q35</f>
        <v>0</v>
      </c>
      <c r="AG35" s="115" t="n">
        <f aca="false">$D$35*R35</f>
        <v>0</v>
      </c>
      <c r="AH35" s="115" t="n">
        <f aca="false">$D$35*S35</f>
        <v>0</v>
      </c>
      <c r="AI35" s="94" t="n">
        <f aca="false">AJ35/$AI$33</f>
        <v>0.183800046285582</v>
      </c>
      <c r="AJ35" s="58" t="n">
        <f aca="false">SUM(T35:AC35)</f>
        <v>1588.4</v>
      </c>
    </row>
    <row r="36" customFormat="false" ht="15" hidden="false" customHeight="false" outlineLevel="0" collapsed="false">
      <c r="A36" s="60" t="n">
        <v>2</v>
      </c>
      <c r="B36" s="61" t="s">
        <v>309</v>
      </c>
      <c r="C36" s="202" t="s">
        <v>310</v>
      </c>
      <c r="D36" s="63" t="n">
        <f aca="false">VLOOKUP(C36,'[1]PREÇO ATUAL'!$A$1:$D$1048576,4,0)</f>
        <v>61.98</v>
      </c>
      <c r="E36" s="117"/>
      <c r="F36" s="117"/>
      <c r="G36" s="117"/>
      <c r="H36" s="64" t="n">
        <v>10</v>
      </c>
      <c r="I36" s="64"/>
      <c r="J36" s="64"/>
      <c r="K36" s="64"/>
      <c r="L36" s="64" t="n">
        <v>10</v>
      </c>
      <c r="M36" s="64"/>
      <c r="N36" s="64"/>
      <c r="O36" s="64"/>
      <c r="P36" s="64"/>
      <c r="Q36" s="64"/>
      <c r="R36" s="64"/>
      <c r="S36" s="64"/>
      <c r="T36" s="66" t="n">
        <f aca="false">$D$36*E36</f>
        <v>0</v>
      </c>
      <c r="U36" s="66" t="n">
        <f aca="false">$D$36*F36</f>
        <v>0</v>
      </c>
      <c r="V36" s="66" t="n">
        <f aca="false">$D$36*G36</f>
        <v>0</v>
      </c>
      <c r="W36" s="66" t="n">
        <f aca="false">$D$36*H36</f>
        <v>619.8</v>
      </c>
      <c r="X36" s="66" t="n">
        <f aca="false">$D$36*I36</f>
        <v>0</v>
      </c>
      <c r="Y36" s="116" t="n">
        <f aca="false">$D$36*J36</f>
        <v>0</v>
      </c>
      <c r="Z36" s="116" t="n">
        <f aca="false">$D$36*K36</f>
        <v>0</v>
      </c>
      <c r="AA36" s="116" t="n">
        <f aca="false">$D$36*L36</f>
        <v>619.8</v>
      </c>
      <c r="AB36" s="116" t="n">
        <f aca="false">$D$36*M36</f>
        <v>0</v>
      </c>
      <c r="AC36" s="116" t="n">
        <f aca="false">$D$36*N36</f>
        <v>0</v>
      </c>
      <c r="AD36" s="116" t="n">
        <f aca="false">$D$36*O36</f>
        <v>0</v>
      </c>
      <c r="AE36" s="116" t="n">
        <f aca="false">$D$36*P36</f>
        <v>0</v>
      </c>
      <c r="AF36" s="116" t="n">
        <f aca="false">$D$36*Q36</f>
        <v>0</v>
      </c>
      <c r="AG36" s="116" t="n">
        <f aca="false">$D$36*R36</f>
        <v>0</v>
      </c>
      <c r="AH36" s="116" t="n">
        <f aca="false">$D$36*S36</f>
        <v>0</v>
      </c>
      <c r="AI36" s="95" t="n">
        <f aca="false">AJ36/$AI$33</f>
        <v>0.143439018745661</v>
      </c>
      <c r="AJ36" s="66" t="n">
        <f aca="false">SUM(T36:AC36)</f>
        <v>1239.6</v>
      </c>
    </row>
    <row r="37" customFormat="false" ht="15" hidden="false" customHeight="false" outlineLevel="0" collapsed="false">
      <c r="A37" s="52" t="n">
        <v>3</v>
      </c>
      <c r="B37" s="53" t="s">
        <v>313</v>
      </c>
      <c r="C37" s="201" t="s">
        <v>65</v>
      </c>
      <c r="D37" s="55" t="n">
        <f aca="false">VLOOKUP(C37,'[1]PREÇO ATUAL'!$A$1:$D$1048576,4,0)</f>
        <v>342</v>
      </c>
      <c r="E37" s="84" t="n">
        <v>1.6</v>
      </c>
      <c r="F37" s="84" t="n">
        <v>1.6</v>
      </c>
      <c r="G37" s="84" t="n">
        <v>1.6</v>
      </c>
      <c r="H37" s="84" t="n">
        <v>2.1</v>
      </c>
      <c r="I37" s="84" t="n">
        <v>1.6</v>
      </c>
      <c r="J37" s="84" t="n">
        <v>1.6</v>
      </c>
      <c r="K37" s="84" t="n">
        <v>1.6</v>
      </c>
      <c r="L37" s="84" t="n">
        <v>2.1</v>
      </c>
      <c r="M37" s="84" t="n">
        <v>1.6</v>
      </c>
      <c r="N37" s="84" t="n">
        <v>1.6</v>
      </c>
      <c r="O37" s="84"/>
      <c r="P37" s="84"/>
      <c r="Q37" s="84"/>
      <c r="R37" s="84"/>
      <c r="S37" s="84"/>
      <c r="T37" s="58" t="n">
        <f aca="false">$D$37*E37</f>
        <v>547.2</v>
      </c>
      <c r="U37" s="58" t="n">
        <f aca="false">$D$37*F37</f>
        <v>547.2</v>
      </c>
      <c r="V37" s="58" t="n">
        <f aca="false">$D$37*G37</f>
        <v>547.2</v>
      </c>
      <c r="W37" s="58" t="n">
        <f aca="false">$D$37*H37</f>
        <v>718.2</v>
      </c>
      <c r="X37" s="58" t="n">
        <f aca="false">$D$37*I37</f>
        <v>547.2</v>
      </c>
      <c r="Y37" s="115" t="n">
        <f aca="false">$D$37*J37</f>
        <v>547.2</v>
      </c>
      <c r="Z37" s="115" t="n">
        <f aca="false">$D$37*K37</f>
        <v>547.2</v>
      </c>
      <c r="AA37" s="115" t="n">
        <f aca="false">$D$37*L37</f>
        <v>718.2</v>
      </c>
      <c r="AB37" s="115" t="n">
        <f aca="false">$D$37*M37</f>
        <v>547.2</v>
      </c>
      <c r="AC37" s="115" t="n">
        <f aca="false">$D$37*N37</f>
        <v>547.2</v>
      </c>
      <c r="AD37" s="115" t="n">
        <f aca="false">$D$37*O37</f>
        <v>0</v>
      </c>
      <c r="AE37" s="115" t="n">
        <f aca="false">$D$37*P37</f>
        <v>0</v>
      </c>
      <c r="AF37" s="115" t="n">
        <f aca="false">$D$37*Q37</f>
        <v>0</v>
      </c>
      <c r="AG37" s="115" t="n">
        <f aca="false">$D$37*R37</f>
        <v>0</v>
      </c>
      <c r="AH37" s="115" t="n">
        <f aca="false">$D$37*S37</f>
        <v>0</v>
      </c>
      <c r="AI37" s="94" t="n">
        <f aca="false">AJ37/$AI$33</f>
        <v>0.672760934968757</v>
      </c>
      <c r="AJ37" s="58" t="n">
        <f aca="false">SUM(T37:AC37)</f>
        <v>5814</v>
      </c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>
      <c r="B43" s="220"/>
    </row>
    <row r="44" customFormat="false" ht="15.75" hidden="false" customHeight="true" outlineLevel="0" collapsed="false"/>
    <row r="45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</sheetData>
  <mergeCells count="16">
    <mergeCell ref="A1:D2"/>
    <mergeCell ref="E1:S1"/>
    <mergeCell ref="T1:AH1"/>
    <mergeCell ref="AI1:AJ1"/>
    <mergeCell ref="AI2:AJ2"/>
    <mergeCell ref="E15:N15"/>
    <mergeCell ref="A19:D20"/>
    <mergeCell ref="E19:S19"/>
    <mergeCell ref="T19:AH19"/>
    <mergeCell ref="AI19:AJ19"/>
    <mergeCell ref="AI20:AJ20"/>
    <mergeCell ref="A32:D33"/>
    <mergeCell ref="E32:N33"/>
    <mergeCell ref="T32:AC32"/>
    <mergeCell ref="AI32:AJ32"/>
    <mergeCell ref="AI33:AJ33"/>
  </mergeCells>
  <hyperlinks>
    <hyperlink ref="AK1" location="'PREÇO NACIONAL'!A1" display="Voltar Capa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Z9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E1" activePane="topRight" state="frozen"/>
      <selection pane="topLeft" activeCell="A1" activeCellId="0" sqref="A1"/>
      <selection pane="topRight" activeCell="K20" activeCellId="0" sqref="K20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44.85"/>
    <col collapsed="false" customWidth="true" hidden="false" outlineLevel="0" max="3" min="3" style="0" width="14.01"/>
    <col collapsed="false" customWidth="true" hidden="false" outlineLevel="0" max="4" min="4" style="0" width="8.71"/>
    <col collapsed="false" customWidth="true" hidden="false" outlineLevel="0" max="5" min="5" style="0" width="7"/>
    <col collapsed="false" customWidth="true" hidden="false" outlineLevel="0" max="6" min="6" style="0" width="5.43"/>
    <col collapsed="false" customWidth="true" hidden="false" outlineLevel="0" max="9" min="7" style="0" width="6.15"/>
    <col collapsed="false" customWidth="true" hidden="false" outlineLevel="0" max="10" min="10" style="0" width="7.41"/>
    <col collapsed="false" customWidth="true" hidden="false" outlineLevel="0" max="13" min="11" style="0" width="6.15"/>
    <col collapsed="false" customWidth="true" hidden="false" outlineLevel="0" max="14" min="14" style="0" width="7.41"/>
    <col collapsed="false" customWidth="true" hidden="false" outlineLevel="0" max="15" min="15" style="0" width="13.7"/>
    <col collapsed="false" customWidth="true" hidden="false" outlineLevel="0" max="19" min="16" style="0" width="13.43"/>
    <col collapsed="false" customWidth="true" hidden="false" outlineLevel="0" max="20" min="20" style="0" width="15.71"/>
    <col collapsed="false" customWidth="true" hidden="false" outlineLevel="0" max="25" min="21" style="0" width="13.7"/>
    <col collapsed="false" customWidth="true" hidden="false" outlineLevel="0" max="26" min="26" style="0" width="15.57"/>
  </cols>
  <sheetData>
    <row r="1" customFormat="false" ht="15" hidden="false" customHeight="false" outlineLevel="0" collapsed="false">
      <c r="A1" s="74" t="s">
        <v>323</v>
      </c>
      <c r="B1" s="74"/>
      <c r="C1" s="74"/>
      <c r="D1" s="74"/>
      <c r="E1" s="86" t="s">
        <v>29</v>
      </c>
      <c r="F1" s="86"/>
      <c r="G1" s="86"/>
      <c r="H1" s="86"/>
      <c r="I1" s="86"/>
      <c r="J1" s="86"/>
      <c r="K1" s="86"/>
      <c r="L1" s="86"/>
      <c r="M1" s="86"/>
      <c r="N1" s="86"/>
      <c r="O1" s="90" t="s">
        <v>30</v>
      </c>
      <c r="P1" s="90"/>
      <c r="Q1" s="90"/>
      <c r="R1" s="90"/>
      <c r="S1" s="90"/>
      <c r="T1" s="90"/>
      <c r="U1" s="90"/>
      <c r="V1" s="90"/>
      <c r="W1" s="90"/>
      <c r="X1" s="90"/>
      <c r="Y1" s="37" t="s">
        <v>31</v>
      </c>
      <c r="Z1" s="37"/>
    </row>
    <row r="2" customFormat="false" ht="15" hidden="false" customHeight="false" outlineLevel="0" collapsed="false">
      <c r="A2" s="74"/>
      <c r="B2" s="74"/>
      <c r="C2" s="74"/>
      <c r="D2" s="74"/>
      <c r="E2" s="86"/>
      <c r="F2" s="86"/>
      <c r="G2" s="86"/>
      <c r="H2" s="86"/>
      <c r="I2" s="86"/>
      <c r="J2" s="86"/>
      <c r="K2" s="86"/>
      <c r="L2" s="86"/>
      <c r="M2" s="86"/>
      <c r="N2" s="86"/>
      <c r="O2" s="43" t="n">
        <f aca="false">MROUND(SUM(O4:O6),1)</f>
        <v>274</v>
      </c>
      <c r="P2" s="43" t="n">
        <f aca="false">MROUND(SUM(P4:P6),1)</f>
        <v>637</v>
      </c>
      <c r="Q2" s="43" t="n">
        <f aca="false">MROUND(SUM(Q4:Q6),1)</f>
        <v>274</v>
      </c>
      <c r="R2" s="43" t="n">
        <f aca="false">MROUND(SUM(R4:R6),1)</f>
        <v>637</v>
      </c>
      <c r="S2" s="43" t="n">
        <f aca="false">MROUND(SUM(S4:S6),1)</f>
        <v>274</v>
      </c>
      <c r="T2" s="43" t="n">
        <f aca="false">MROUND(SUM(T4:T6),1)</f>
        <v>637</v>
      </c>
      <c r="U2" s="43" t="n">
        <f aca="false">MROUND(SUM(U4:U6),1)</f>
        <v>274</v>
      </c>
      <c r="V2" s="43" t="n">
        <f aca="false">MROUND(SUM(V4:V6),1)</f>
        <v>637</v>
      </c>
      <c r="W2" s="43" t="n">
        <f aca="false">MROUND(SUM(W4:W6),1)</f>
        <v>274</v>
      </c>
      <c r="X2" s="43" t="n">
        <f aca="false">MROUND(SUM(X4:X6),1)</f>
        <v>637</v>
      </c>
      <c r="Y2" s="44" t="n">
        <f aca="false">SUM(O2:X2)</f>
        <v>4555</v>
      </c>
      <c r="Z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47" t="s">
        <v>35</v>
      </c>
      <c r="E3" s="48" t="s">
        <v>36</v>
      </c>
      <c r="F3" s="48" t="s">
        <v>37</v>
      </c>
      <c r="G3" s="48" t="s">
        <v>38</v>
      </c>
      <c r="H3" s="48" t="s">
        <v>39</v>
      </c>
      <c r="I3" s="48" t="s">
        <v>40</v>
      </c>
      <c r="J3" s="48" t="s">
        <v>41</v>
      </c>
      <c r="K3" s="48" t="s">
        <v>42</v>
      </c>
      <c r="L3" s="48" t="s">
        <v>43</v>
      </c>
      <c r="M3" s="48" t="s">
        <v>44</v>
      </c>
      <c r="N3" s="48" t="s">
        <v>45</v>
      </c>
      <c r="O3" s="48" t="n">
        <v>15000</v>
      </c>
      <c r="P3" s="48" t="n">
        <v>30000</v>
      </c>
      <c r="Q3" s="48" t="n">
        <v>45000</v>
      </c>
      <c r="R3" s="48" t="n">
        <v>60000</v>
      </c>
      <c r="S3" s="48" t="n">
        <v>75000</v>
      </c>
      <c r="T3" s="48" t="n">
        <v>90000</v>
      </c>
      <c r="U3" s="48" t="n">
        <v>105000</v>
      </c>
      <c r="V3" s="48" t="n">
        <v>120000</v>
      </c>
      <c r="W3" s="48" t="n">
        <v>135000</v>
      </c>
      <c r="X3" s="48" t="n">
        <v>150000</v>
      </c>
      <c r="Y3" s="51" t="s">
        <v>46</v>
      </c>
      <c r="Z3" s="45" t="s">
        <v>47</v>
      </c>
    </row>
    <row r="4" customFormat="false" ht="15" hidden="false" customHeight="false" outlineLevel="0" collapsed="false">
      <c r="A4" s="60" t="n">
        <v>1</v>
      </c>
      <c r="B4" s="61" t="s">
        <v>324</v>
      </c>
      <c r="C4" s="62" t="s">
        <v>325</v>
      </c>
      <c r="D4" s="63" t="n">
        <f aca="false">VLOOKUP(C4,'[1]PREÇO ATUAL'!$A$1:$D$1048576,4,0)</f>
        <v>154.6</v>
      </c>
      <c r="E4" s="221"/>
      <c r="F4" s="64" t="n">
        <v>1</v>
      </c>
      <c r="G4" s="64"/>
      <c r="H4" s="64" t="n">
        <v>1</v>
      </c>
      <c r="I4" s="65"/>
      <c r="J4" s="65" t="n">
        <v>1</v>
      </c>
      <c r="K4" s="65"/>
      <c r="L4" s="65" t="n">
        <v>1</v>
      </c>
      <c r="M4" s="65"/>
      <c r="N4" s="97" t="n">
        <v>1</v>
      </c>
      <c r="O4" s="222" t="n">
        <f aca="false">$D4*E4</f>
        <v>0</v>
      </c>
      <c r="P4" s="66" t="n">
        <f aca="false">$D4*F4</f>
        <v>154.6</v>
      </c>
      <c r="Q4" s="66" t="n">
        <f aca="false">$D4*G4</f>
        <v>0</v>
      </c>
      <c r="R4" s="66" t="n">
        <f aca="false">$D4*H4</f>
        <v>154.6</v>
      </c>
      <c r="S4" s="66" t="n">
        <f aca="false">$D4*I4</f>
        <v>0</v>
      </c>
      <c r="T4" s="66" t="n">
        <f aca="false">$D4*J4</f>
        <v>154.6</v>
      </c>
      <c r="U4" s="66" t="n">
        <f aca="false">$D4*K4</f>
        <v>0</v>
      </c>
      <c r="V4" s="66" t="n">
        <f aca="false">$D4*L4</f>
        <v>154.6</v>
      </c>
      <c r="W4" s="66" t="n">
        <f aca="false">$D4*M4</f>
        <v>0</v>
      </c>
      <c r="X4" s="92" t="n">
        <f aca="false">$D4*N4</f>
        <v>154.6</v>
      </c>
      <c r="Y4" s="95" t="n">
        <f aca="false">Z4/$Y$2</f>
        <v>0.169703622392975</v>
      </c>
      <c r="Z4" s="66" t="n">
        <f aca="false">SUM(O4:X4)</f>
        <v>773</v>
      </c>
    </row>
    <row r="5" customFormat="false" ht="15" hidden="false" customHeight="false" outlineLevel="0" collapsed="false">
      <c r="A5" s="52" t="n">
        <v>2</v>
      </c>
      <c r="B5" s="53" t="s">
        <v>326</v>
      </c>
      <c r="C5" s="54" t="s">
        <v>327</v>
      </c>
      <c r="D5" s="55" t="n">
        <f aca="false">VLOOKUP(C5,'[1]PREÇO ATUAL'!$A$1:$D$1048576,4,0)</f>
        <v>61.79137536</v>
      </c>
      <c r="E5" s="56"/>
      <c r="F5" s="56" t="n">
        <v>2</v>
      </c>
      <c r="G5" s="56"/>
      <c r="H5" s="56" t="n">
        <v>2</v>
      </c>
      <c r="I5" s="57"/>
      <c r="J5" s="57" t="n">
        <v>2</v>
      </c>
      <c r="K5" s="57"/>
      <c r="L5" s="57" t="n">
        <v>2</v>
      </c>
      <c r="M5" s="57"/>
      <c r="N5" s="96" t="n">
        <v>2</v>
      </c>
      <c r="O5" s="58" t="n">
        <f aca="false">$D5*E5</f>
        <v>0</v>
      </c>
      <c r="P5" s="58" t="n">
        <f aca="false">$D5*F5</f>
        <v>123.58275072</v>
      </c>
      <c r="Q5" s="58" t="n">
        <f aca="false">$D5*G5</f>
        <v>0</v>
      </c>
      <c r="R5" s="58" t="n">
        <f aca="false">$D5*H5</f>
        <v>123.58275072</v>
      </c>
      <c r="S5" s="58" t="n">
        <f aca="false">$D5*I5</f>
        <v>0</v>
      </c>
      <c r="T5" s="58" t="n">
        <f aca="false">$D5*J5</f>
        <v>123.58275072</v>
      </c>
      <c r="U5" s="58" t="n">
        <f aca="false">$D5*K5</f>
        <v>0</v>
      </c>
      <c r="V5" s="58" t="n">
        <f aca="false">$D5*L5</f>
        <v>123.58275072</v>
      </c>
      <c r="W5" s="58" t="n">
        <f aca="false">$D5*M5</f>
        <v>0</v>
      </c>
      <c r="X5" s="91" t="n">
        <f aca="false">$D5*N5</f>
        <v>123.58275072</v>
      </c>
      <c r="Y5" s="94" t="n">
        <f aca="false">Z5/$Y$2</f>
        <v>0.135656147881449</v>
      </c>
      <c r="Z5" s="58" t="n">
        <f aca="false">SUM(O5:X5)</f>
        <v>617.9137536</v>
      </c>
    </row>
    <row r="6" customFormat="false" ht="15" hidden="false" customHeight="false" outlineLevel="0" collapsed="false">
      <c r="A6" s="60" t="n">
        <v>3</v>
      </c>
      <c r="B6" s="61" t="s">
        <v>64</v>
      </c>
      <c r="C6" s="62" t="s">
        <v>65</v>
      </c>
      <c r="D6" s="63" t="n">
        <f aca="false">VLOOKUP(C6,'[1]PREÇO ATUAL'!$A$1:$D$1048576,4,0)</f>
        <v>342</v>
      </c>
      <c r="E6" s="223" t="n">
        <v>0.8</v>
      </c>
      <c r="F6" s="82" t="n">
        <v>1.05</v>
      </c>
      <c r="G6" s="82" t="n">
        <v>0.8</v>
      </c>
      <c r="H6" s="82" t="n">
        <v>1.05</v>
      </c>
      <c r="I6" s="83" t="n">
        <v>0.8</v>
      </c>
      <c r="J6" s="83" t="n">
        <v>1.05</v>
      </c>
      <c r="K6" s="83" t="n">
        <v>0.8</v>
      </c>
      <c r="L6" s="83" t="n">
        <v>1.05</v>
      </c>
      <c r="M6" s="83" t="n">
        <v>0.8</v>
      </c>
      <c r="N6" s="120" t="n">
        <v>1.05</v>
      </c>
      <c r="O6" s="222" t="n">
        <f aca="false">D6*E6</f>
        <v>273.6</v>
      </c>
      <c r="P6" s="66" t="n">
        <f aca="false">$D6*F6</f>
        <v>359.1</v>
      </c>
      <c r="Q6" s="66" t="n">
        <f aca="false">$D6*G6</f>
        <v>273.6</v>
      </c>
      <c r="R6" s="66" t="n">
        <f aca="false">$D6*H6</f>
        <v>359.1</v>
      </c>
      <c r="S6" s="66" t="n">
        <f aca="false">$D6*I6</f>
        <v>273.6</v>
      </c>
      <c r="T6" s="66" t="n">
        <f aca="false">$D6*J6</f>
        <v>359.1</v>
      </c>
      <c r="U6" s="66" t="n">
        <f aca="false">$D6*K6</f>
        <v>273.6</v>
      </c>
      <c r="V6" s="66" t="n">
        <f aca="false">$D6*L6</f>
        <v>359.1</v>
      </c>
      <c r="W6" s="66" t="n">
        <f aca="false">$D6*M6</f>
        <v>273.6</v>
      </c>
      <c r="X6" s="92" t="n">
        <f aca="false">$D6*N6</f>
        <v>359.1</v>
      </c>
      <c r="Y6" s="95" t="n">
        <f aca="false">Z6/$Y$2</f>
        <v>0.694511525795829</v>
      </c>
      <c r="Z6" s="66" t="n">
        <f aca="false">SUM(O6:X6)</f>
        <v>3163.5</v>
      </c>
    </row>
    <row r="7" customFormat="false" ht="15" hidden="false" customHeight="false" outlineLevel="0" collapsed="false">
      <c r="B7" s="0" t="s">
        <v>328</v>
      </c>
    </row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mergeCells count="5">
    <mergeCell ref="A1:D2"/>
    <mergeCell ref="E1:N2"/>
    <mergeCell ref="O1:X1"/>
    <mergeCell ref="Y1:Z1"/>
    <mergeCell ref="Y2:Z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00"/>
    <pageSetUpPr fitToPage="false"/>
  </sheetPr>
  <dimension ref="A1:AM990"/>
  <sheetViews>
    <sheetView showFormulas="false" showGridLines="false" showRowColHeaders="true" showZeros="true" rightToLeft="false" tabSelected="false" showOutlineSymbols="true" defaultGridColor="true" view="normal" topLeftCell="A41" colorId="64" zoomScale="100" zoomScaleNormal="100" zoomScalePageLayoutView="100" workbookViewId="0">
      <pane xSplit="4" ySplit="0" topLeftCell="E41" activePane="topRight" state="frozen"/>
      <selection pane="topLeft" activeCell="A41" activeCellId="0" sqref="A41"/>
      <selection pane="topRight" activeCell="T65" activeCellId="0" sqref="T65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3.3"/>
    <col collapsed="false" customWidth="true" hidden="false" outlineLevel="0" max="2" min="2" style="0" width="81.7"/>
    <col collapsed="false" customWidth="true" hidden="false" outlineLevel="0" max="3" min="3" style="0" width="16.87"/>
    <col collapsed="false" customWidth="true" hidden="false" outlineLevel="0" max="4" min="4" style="0" width="7.87"/>
    <col collapsed="false" customWidth="true" hidden="false" outlineLevel="0" max="7" min="5" style="0" width="5.28"/>
    <col collapsed="false" customWidth="true" hidden="false" outlineLevel="0" max="19" min="8" style="0" width="5.14"/>
    <col collapsed="false" customWidth="true" hidden="false" outlineLevel="0" max="34" min="20" style="0" width="15.71"/>
    <col collapsed="false" customWidth="true" hidden="false" outlineLevel="0" max="35" min="35" style="0" width="7"/>
    <col collapsed="false" customWidth="true" hidden="false" outlineLevel="0" max="36" min="36" style="0" width="15.57"/>
  </cols>
  <sheetData>
    <row r="1" customFormat="false" ht="15" hidden="false" customHeight="true" outlineLevel="0" collapsed="false">
      <c r="A1" s="198" t="s">
        <v>13</v>
      </c>
      <c r="B1" s="198"/>
      <c r="C1" s="198"/>
      <c r="D1" s="198"/>
      <c r="E1" s="224" t="s">
        <v>29</v>
      </c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5" t="s">
        <v>30</v>
      </c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78" t="s">
        <v>31</v>
      </c>
      <c r="AJ1" s="78"/>
    </row>
    <row r="2" customFormat="false" ht="15" hidden="false" customHeight="true" outlineLevel="0" collapsed="false">
      <c r="A2" s="198"/>
      <c r="B2" s="198"/>
      <c r="C2" s="198"/>
      <c r="D2" s="198"/>
      <c r="E2" s="41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3" t="n">
        <f aca="false">MROUND(SUM(T4:T14),1)</f>
        <v>2304</v>
      </c>
      <c r="U2" s="43" t="n">
        <f aca="false">MROUND(SUM(U4:U14),1)</f>
        <v>2294</v>
      </c>
      <c r="V2" s="43" t="n">
        <f aca="false">MROUND(SUM(V4:V14),1)</f>
        <v>1989</v>
      </c>
      <c r="W2" s="43" t="n">
        <f aca="false">MROUND(SUM(W4:W14),1)</f>
        <v>2328</v>
      </c>
      <c r="X2" s="43" t="n">
        <f aca="false">MROUND(SUM(X4:X14),1)</f>
        <v>2551</v>
      </c>
      <c r="Y2" s="43" t="n">
        <f aca="false">MROUND(SUM(Y4:Y14),1)</f>
        <v>2294</v>
      </c>
      <c r="Z2" s="43" t="n">
        <f aca="false">MROUND(SUM(Z4:Z14),1)</f>
        <v>1989</v>
      </c>
      <c r="AA2" s="43" t="n">
        <f aca="false">MROUND(SUM(AA4:AA14),1)</f>
        <v>4110</v>
      </c>
      <c r="AB2" s="43" t="n">
        <f aca="false">MROUND(SUM(AB4:AB14),1)</f>
        <v>2304</v>
      </c>
      <c r="AC2" s="43" t="n">
        <f aca="false">MROUND(SUM(AC4:AC14),1)</f>
        <v>2541</v>
      </c>
      <c r="AD2" s="226"/>
      <c r="AE2" s="226"/>
      <c r="AF2" s="226"/>
      <c r="AG2" s="226"/>
      <c r="AH2" s="226"/>
      <c r="AI2" s="44" t="n">
        <f aca="false">SUM(T2:AC2)</f>
        <v>24704</v>
      </c>
      <c r="AJ2" s="44"/>
    </row>
    <row r="3" customFormat="false" ht="15" hidden="false" customHeight="false" outlineLevel="0" collapsed="false">
      <c r="A3" s="45" t="s">
        <v>32</v>
      </c>
      <c r="B3" s="45" t="s">
        <v>33</v>
      </c>
      <c r="C3" s="45" t="s">
        <v>34</v>
      </c>
      <c r="D3" s="200" t="s">
        <v>35</v>
      </c>
      <c r="E3" s="48" t="s">
        <v>186</v>
      </c>
      <c r="F3" s="48" t="s">
        <v>187</v>
      </c>
      <c r="G3" s="48" t="s">
        <v>188</v>
      </c>
      <c r="H3" s="48" t="s">
        <v>189</v>
      </c>
      <c r="I3" s="48" t="s">
        <v>190</v>
      </c>
      <c r="J3" s="48" t="s">
        <v>191</v>
      </c>
      <c r="K3" s="48" t="s">
        <v>192</v>
      </c>
      <c r="L3" s="48" t="s">
        <v>193</v>
      </c>
      <c r="M3" s="48" t="s">
        <v>194</v>
      </c>
      <c r="N3" s="48" t="s">
        <v>195</v>
      </c>
      <c r="O3" s="48"/>
      <c r="P3" s="48"/>
      <c r="Q3" s="48"/>
      <c r="R3" s="48"/>
      <c r="S3" s="48"/>
      <c r="T3" s="48" t="n">
        <v>10000</v>
      </c>
      <c r="U3" s="48" t="n">
        <v>20000</v>
      </c>
      <c r="V3" s="48" t="n">
        <v>30000</v>
      </c>
      <c r="W3" s="48" t="n">
        <v>40000</v>
      </c>
      <c r="X3" s="48" t="n">
        <v>50000</v>
      </c>
      <c r="Y3" s="48" t="n">
        <v>60000</v>
      </c>
      <c r="Z3" s="48" t="n">
        <v>70000</v>
      </c>
      <c r="AA3" s="48" t="n">
        <v>80000</v>
      </c>
      <c r="AB3" s="48" t="n">
        <v>90000</v>
      </c>
      <c r="AC3" s="48" t="n">
        <v>100000</v>
      </c>
      <c r="AD3" s="50"/>
      <c r="AE3" s="50"/>
      <c r="AF3" s="50"/>
      <c r="AG3" s="50"/>
      <c r="AH3" s="50"/>
      <c r="AI3" s="51" t="s">
        <v>46</v>
      </c>
      <c r="AJ3" s="45" t="s">
        <v>47</v>
      </c>
      <c r="AL3" s="0" t="n">
        <v>1186</v>
      </c>
    </row>
    <row r="4" customFormat="false" ht="15" hidden="false" customHeight="false" outlineLevel="0" collapsed="false">
      <c r="A4" s="52" t="n">
        <v>1</v>
      </c>
      <c r="B4" s="53" t="s">
        <v>291</v>
      </c>
      <c r="C4" s="201" t="s">
        <v>244</v>
      </c>
      <c r="D4" s="55" t="n">
        <f aca="false">VLOOKUP(C4,'[1]PREÇO ATUAL'!$A$1:$D$1048576,4,0)</f>
        <v>115.4</v>
      </c>
      <c r="E4" s="56" t="n">
        <v>1</v>
      </c>
      <c r="F4" s="56" t="n">
        <v>1</v>
      </c>
      <c r="G4" s="56" t="n">
        <v>1</v>
      </c>
      <c r="H4" s="56" t="n">
        <v>1</v>
      </c>
      <c r="I4" s="56" t="n">
        <v>1</v>
      </c>
      <c r="J4" s="56" t="n">
        <v>1</v>
      </c>
      <c r="K4" s="56" t="n">
        <v>1</v>
      </c>
      <c r="L4" s="56" t="n">
        <v>1</v>
      </c>
      <c r="M4" s="56" t="n">
        <v>1</v>
      </c>
      <c r="N4" s="56" t="n">
        <v>1</v>
      </c>
      <c r="O4" s="56"/>
      <c r="P4" s="56"/>
      <c r="Q4" s="56"/>
      <c r="R4" s="56"/>
      <c r="S4" s="56"/>
      <c r="T4" s="58" t="n">
        <f aca="false">$D$4*E4</f>
        <v>115.4</v>
      </c>
      <c r="U4" s="58" t="n">
        <f aca="false">$D$4*F4</f>
        <v>115.4</v>
      </c>
      <c r="V4" s="58" t="n">
        <f aca="false">$D$4*G4</f>
        <v>115.4</v>
      </c>
      <c r="W4" s="58" t="n">
        <f aca="false">$D$4*H4</f>
        <v>115.4</v>
      </c>
      <c r="X4" s="58" t="n">
        <f aca="false">$D$4*I4</f>
        <v>115.4</v>
      </c>
      <c r="Y4" s="58" t="n">
        <f aca="false">$D$4*J4</f>
        <v>115.4</v>
      </c>
      <c r="Z4" s="58" t="n">
        <f aca="false">$D$4*K4</f>
        <v>115.4</v>
      </c>
      <c r="AA4" s="58" t="n">
        <f aca="false">$D$4*L4</f>
        <v>115.4</v>
      </c>
      <c r="AB4" s="58" t="n">
        <f aca="false">$D$4*M4</f>
        <v>115.4</v>
      </c>
      <c r="AC4" s="58" t="n">
        <f aca="false">$D$4*N4</f>
        <v>115.4</v>
      </c>
      <c r="AD4" s="115"/>
      <c r="AE4" s="115"/>
      <c r="AF4" s="115"/>
      <c r="AG4" s="115"/>
      <c r="AH4" s="115"/>
      <c r="AI4" s="94" t="n">
        <f aca="false">AJ4/$AI$2</f>
        <v>0.0467130829015544</v>
      </c>
      <c r="AJ4" s="58" t="n">
        <f aca="false">SUM(T4:AC4)</f>
        <v>1154</v>
      </c>
      <c r="AL4" s="0" t="n">
        <v>820</v>
      </c>
      <c r="AM4" s="0" t="n">
        <f aca="false">AL4/AL3</f>
        <v>0.691399662731872</v>
      </c>
    </row>
    <row r="5" customFormat="false" ht="15" hidden="false" customHeight="false" outlineLevel="0" collapsed="false">
      <c r="A5" s="60" t="n">
        <v>2</v>
      </c>
      <c r="B5" s="61" t="s">
        <v>290</v>
      </c>
      <c r="C5" s="202" t="s">
        <v>329</v>
      </c>
      <c r="D5" s="63" t="n">
        <f aca="false">VLOOKUP(C5,'[1]PREÇO ATUAL'!$A$1:$D$1048576,4,0)</f>
        <v>12.867624</v>
      </c>
      <c r="E5" s="64" t="n">
        <v>1</v>
      </c>
      <c r="F5" s="64" t="n">
        <v>1</v>
      </c>
      <c r="G5" s="64" t="n">
        <v>1</v>
      </c>
      <c r="H5" s="64" t="n">
        <v>1</v>
      </c>
      <c r="I5" s="64" t="n">
        <v>1</v>
      </c>
      <c r="J5" s="64" t="n">
        <v>1</v>
      </c>
      <c r="K5" s="64" t="n">
        <v>1</v>
      </c>
      <c r="L5" s="64" t="n">
        <v>1</v>
      </c>
      <c r="M5" s="64" t="n">
        <v>1</v>
      </c>
      <c r="N5" s="64" t="n">
        <v>1</v>
      </c>
      <c r="O5" s="64"/>
      <c r="P5" s="64"/>
      <c r="Q5" s="64"/>
      <c r="R5" s="64"/>
      <c r="S5" s="64"/>
      <c r="T5" s="66" t="n">
        <f aca="false">$D$5*E5</f>
        <v>12.867624</v>
      </c>
      <c r="U5" s="66" t="n">
        <f aca="false">$D$5*F5</f>
        <v>12.867624</v>
      </c>
      <c r="V5" s="66" t="n">
        <f aca="false">$D$5*G5</f>
        <v>12.867624</v>
      </c>
      <c r="W5" s="66" t="n">
        <f aca="false">$D$5*H5</f>
        <v>12.867624</v>
      </c>
      <c r="X5" s="66" t="n">
        <f aca="false">$D$5*I5</f>
        <v>12.867624</v>
      </c>
      <c r="Y5" s="66" t="n">
        <f aca="false">$D$5*J5</f>
        <v>12.867624</v>
      </c>
      <c r="Z5" s="66" t="n">
        <f aca="false">$D$5*K5</f>
        <v>12.867624</v>
      </c>
      <c r="AA5" s="66" t="n">
        <f aca="false">$D$5*L5</f>
        <v>12.867624</v>
      </c>
      <c r="AB5" s="66" t="n">
        <f aca="false">$D$5*M5</f>
        <v>12.867624</v>
      </c>
      <c r="AC5" s="66" t="n">
        <f aca="false">$D$5*N5</f>
        <v>12.867624</v>
      </c>
      <c r="AD5" s="116"/>
      <c r="AE5" s="116"/>
      <c r="AF5" s="116"/>
      <c r="AG5" s="116"/>
      <c r="AH5" s="116"/>
      <c r="AI5" s="95" t="n">
        <f aca="false">AJ5/$AI$2</f>
        <v>0.00520872085492228</v>
      </c>
      <c r="AJ5" s="66" t="n">
        <f aca="false">SUM(T5:AC5)</f>
        <v>128.67624</v>
      </c>
      <c r="AL5" s="0" t="n">
        <f aca="false">AL3-AL4</f>
        <v>366</v>
      </c>
      <c r="AM5" s="0" t="n">
        <f aca="false">AL5/AL3</f>
        <v>0.308600337268128</v>
      </c>
    </row>
    <row r="6" customFormat="false" ht="15" hidden="false" customHeight="false" outlineLevel="0" collapsed="false">
      <c r="A6" s="52" t="n">
        <v>3</v>
      </c>
      <c r="B6" s="53" t="s">
        <v>330</v>
      </c>
      <c r="C6" s="201" t="s">
        <v>331</v>
      </c>
      <c r="D6" s="55" t="n">
        <f aca="false">VLOOKUP(C6,'[1]PREÇO ATUAL'!$A$1:$D$1048576,4,0)</f>
        <v>305</v>
      </c>
      <c r="E6" s="56" t="n">
        <v>1</v>
      </c>
      <c r="F6" s="56" t="n">
        <v>1</v>
      </c>
      <c r="G6" s="56" t="n">
        <v>1</v>
      </c>
      <c r="H6" s="56" t="n">
        <v>1</v>
      </c>
      <c r="I6" s="56" t="n">
        <v>1</v>
      </c>
      <c r="J6" s="56" t="n">
        <v>1</v>
      </c>
      <c r="K6" s="56" t="n">
        <v>1</v>
      </c>
      <c r="L6" s="56" t="n">
        <v>1</v>
      </c>
      <c r="M6" s="56" t="n">
        <v>1</v>
      </c>
      <c r="N6" s="56" t="n">
        <v>1</v>
      </c>
      <c r="O6" s="56"/>
      <c r="P6" s="56"/>
      <c r="Q6" s="56"/>
      <c r="R6" s="56"/>
      <c r="S6" s="56"/>
      <c r="T6" s="58" t="n">
        <f aca="false">D6*E6</f>
        <v>305</v>
      </c>
      <c r="U6" s="58" t="n">
        <f aca="false">$D$6*F6</f>
        <v>305</v>
      </c>
      <c r="V6" s="58" t="n">
        <f aca="false">$D$6*G6</f>
        <v>305</v>
      </c>
      <c r="W6" s="58" t="n">
        <f aca="false">$D$6*H6</f>
        <v>305</v>
      </c>
      <c r="X6" s="58" t="n">
        <f aca="false">$D$6*I6</f>
        <v>305</v>
      </c>
      <c r="Y6" s="58" t="n">
        <f aca="false">$D$6*J6</f>
        <v>305</v>
      </c>
      <c r="Z6" s="58" t="n">
        <f aca="false">$D$6*K6</f>
        <v>305</v>
      </c>
      <c r="AA6" s="58" t="n">
        <f aca="false">$D$6*L6</f>
        <v>305</v>
      </c>
      <c r="AB6" s="58" t="n">
        <f aca="false">$D$6*M6</f>
        <v>305</v>
      </c>
      <c r="AC6" s="58" t="n">
        <f aca="false">$D$6*N6</f>
        <v>305</v>
      </c>
      <c r="AD6" s="115"/>
      <c r="AE6" s="115"/>
      <c r="AF6" s="115"/>
      <c r="AG6" s="115"/>
      <c r="AH6" s="115"/>
      <c r="AI6" s="94" t="n">
        <f aca="false">AJ6/$AI$2</f>
        <v>0.123461787564767</v>
      </c>
      <c r="AJ6" s="58" t="n">
        <f aca="false">SUM(T6:AC6)</f>
        <v>3050</v>
      </c>
    </row>
    <row r="7" customFormat="false" ht="15" hidden="false" customHeight="false" outlineLevel="0" collapsed="false">
      <c r="A7" s="60" t="n">
        <v>4</v>
      </c>
      <c r="B7" s="61" t="s">
        <v>332</v>
      </c>
      <c r="C7" s="202" t="s">
        <v>333</v>
      </c>
      <c r="D7" s="63" t="n">
        <f aca="false">VLOOKUP(C7,'[1]PREÇO ATUAL'!$A$1:$D$1048576,4,0)</f>
        <v>304.39</v>
      </c>
      <c r="E7" s="64"/>
      <c r="F7" s="64" t="n">
        <v>1</v>
      </c>
      <c r="G7" s="64"/>
      <c r="H7" s="64" t="n">
        <v>1</v>
      </c>
      <c r="I7" s="64"/>
      <c r="J7" s="64" t="n">
        <v>1</v>
      </c>
      <c r="K7" s="64"/>
      <c r="L7" s="64" t="n">
        <v>1</v>
      </c>
      <c r="M7" s="64"/>
      <c r="N7" s="64" t="n">
        <v>1</v>
      </c>
      <c r="O7" s="64"/>
      <c r="P7" s="64"/>
      <c r="Q7" s="64"/>
      <c r="R7" s="64"/>
      <c r="S7" s="64"/>
      <c r="T7" s="66" t="n">
        <f aca="false">D7*E7</f>
        <v>0</v>
      </c>
      <c r="U7" s="66" t="n">
        <f aca="false">$D$7*F7</f>
        <v>304.39</v>
      </c>
      <c r="V7" s="66" t="n">
        <f aca="false">$D$7*G7</f>
        <v>0</v>
      </c>
      <c r="W7" s="66" t="n">
        <f aca="false">$D$7*H7</f>
        <v>304.39</v>
      </c>
      <c r="X7" s="66" t="n">
        <f aca="false">$D$7*I7</f>
        <v>0</v>
      </c>
      <c r="Y7" s="66" t="n">
        <f aca="false">$D$7*J7</f>
        <v>304.39</v>
      </c>
      <c r="Z7" s="66" t="n">
        <f aca="false">$D$7*K7</f>
        <v>0</v>
      </c>
      <c r="AA7" s="66" t="n">
        <f aca="false">$D$7*L7</f>
        <v>304.39</v>
      </c>
      <c r="AB7" s="66" t="n">
        <f aca="false">$D$7*M7</f>
        <v>0</v>
      </c>
      <c r="AC7" s="66" t="n">
        <f aca="false">$D$7*N7</f>
        <v>304.39</v>
      </c>
      <c r="AD7" s="116"/>
      <c r="AE7" s="116"/>
      <c r="AF7" s="116"/>
      <c r="AG7" s="116"/>
      <c r="AH7" s="116"/>
      <c r="AI7" s="95" t="n">
        <f aca="false">AJ7/$AI$2</f>
        <v>0.0616074319948187</v>
      </c>
      <c r="AJ7" s="66" t="n">
        <f aca="false">SUM(T7:AC7)</f>
        <v>1521.95</v>
      </c>
    </row>
    <row r="8" customFormat="false" ht="15" hidden="false" customHeight="false" outlineLevel="0" collapsed="false">
      <c r="A8" s="52" t="n">
        <v>5</v>
      </c>
      <c r="B8" s="53" t="s">
        <v>334</v>
      </c>
      <c r="C8" s="201" t="s">
        <v>252</v>
      </c>
      <c r="D8" s="55" t="n">
        <f aca="false">VLOOKUP(C8,'[1]PREÇO ATUAL'!$A$1:$D$1048576,4,0)</f>
        <v>581.33</v>
      </c>
      <c r="E8" s="56"/>
      <c r="F8" s="56"/>
      <c r="G8" s="56"/>
      <c r="H8" s="56"/>
      <c r="I8" s="56"/>
      <c r="J8" s="56"/>
      <c r="K8" s="56"/>
      <c r="L8" s="56" t="n">
        <v>1</v>
      </c>
      <c r="M8" s="56"/>
      <c r="N8" s="56"/>
      <c r="O8" s="56"/>
      <c r="P8" s="56"/>
      <c r="Q8" s="56"/>
      <c r="R8" s="56"/>
      <c r="S8" s="56"/>
      <c r="T8" s="58" t="n">
        <f aca="false">D8*E8</f>
        <v>0</v>
      </c>
      <c r="U8" s="58" t="n">
        <f aca="false">$D$8*F8</f>
        <v>0</v>
      </c>
      <c r="V8" s="58" t="n">
        <f aca="false">$D$8*G8</f>
        <v>0</v>
      </c>
      <c r="W8" s="58" t="n">
        <f aca="false">$D$8*H8</f>
        <v>0</v>
      </c>
      <c r="X8" s="58" t="n">
        <f aca="false">$D$8*I8</f>
        <v>0</v>
      </c>
      <c r="Y8" s="58" t="n">
        <f aca="false">$D$8*J8</f>
        <v>0</v>
      </c>
      <c r="Z8" s="58" t="n">
        <f aca="false">$D$8*K8</f>
        <v>0</v>
      </c>
      <c r="AA8" s="58" t="n">
        <f aca="false">$D$8*L8</f>
        <v>581.33</v>
      </c>
      <c r="AB8" s="58" t="n">
        <f aca="false">$D$8*M8</f>
        <v>0</v>
      </c>
      <c r="AC8" s="58" t="n">
        <f aca="false">$D$8*N8</f>
        <v>0</v>
      </c>
      <c r="AD8" s="115"/>
      <c r="AE8" s="115"/>
      <c r="AF8" s="115"/>
      <c r="AG8" s="115"/>
      <c r="AH8" s="115"/>
      <c r="AI8" s="94" t="n">
        <f aca="false">AJ8/$AI$2</f>
        <v>0.0235318167098446</v>
      </c>
      <c r="AJ8" s="58" t="n">
        <f aca="false">SUM(T8:AC8)</f>
        <v>581.33</v>
      </c>
    </row>
    <row r="9" customFormat="false" ht="25.5" hidden="false" customHeight="false" outlineLevel="0" collapsed="false">
      <c r="A9" s="60" t="n">
        <v>6</v>
      </c>
      <c r="B9" s="73" t="s">
        <v>335</v>
      </c>
      <c r="C9" s="202" t="s">
        <v>336</v>
      </c>
      <c r="D9" s="63" t="n">
        <f aca="false">VLOOKUP(C9,'[1]PREÇO ATUAL'!$A$1:$D$1048576,4,0)</f>
        <v>602.5</v>
      </c>
      <c r="E9" s="117"/>
      <c r="F9" s="117"/>
      <c r="G9" s="64"/>
      <c r="H9" s="64"/>
      <c r="I9" s="117"/>
      <c r="J9" s="64"/>
      <c r="K9" s="117"/>
      <c r="L9" s="64" t="n">
        <v>1</v>
      </c>
      <c r="M9" s="64"/>
      <c r="N9" s="117"/>
      <c r="O9" s="117"/>
      <c r="P9" s="117"/>
      <c r="Q9" s="117"/>
      <c r="R9" s="117"/>
      <c r="S9" s="117"/>
      <c r="T9" s="66" t="n">
        <f aca="false">$D$9*E9</f>
        <v>0</v>
      </c>
      <c r="U9" s="66" t="n">
        <f aca="false">$D$9*F9</f>
        <v>0</v>
      </c>
      <c r="V9" s="66" t="n">
        <f aca="false">$D$9*G9</f>
        <v>0</v>
      </c>
      <c r="W9" s="66" t="n">
        <f aca="false">$D$9*H9</f>
        <v>0</v>
      </c>
      <c r="X9" s="66" t="n">
        <f aca="false">$D$9*I9</f>
        <v>0</v>
      </c>
      <c r="Y9" s="66" t="n">
        <f aca="false">$D$9*J9</f>
        <v>0</v>
      </c>
      <c r="Z9" s="66" t="n">
        <f aca="false">$D$9*K9</f>
        <v>0</v>
      </c>
      <c r="AA9" s="66" t="n">
        <f aca="false">$D$9*L9</f>
        <v>602.5</v>
      </c>
      <c r="AB9" s="66" t="n">
        <f aca="false">$D$9*M9</f>
        <v>0</v>
      </c>
      <c r="AC9" s="66" t="n">
        <f aca="false">$D$9*N9</f>
        <v>0</v>
      </c>
      <c r="AD9" s="116"/>
      <c r="AE9" s="116"/>
      <c r="AF9" s="116"/>
      <c r="AG9" s="116"/>
      <c r="AH9" s="116"/>
      <c r="AI9" s="95" t="n">
        <f aca="false">AJ9/$AI$2</f>
        <v>0.0243887629533679</v>
      </c>
      <c r="AJ9" s="66" t="n">
        <f aca="false">SUM(T9:AC9)</f>
        <v>602.5</v>
      </c>
    </row>
    <row r="10" customFormat="false" ht="15" hidden="false" customHeight="false" outlineLevel="0" collapsed="false">
      <c r="A10" s="125" t="n">
        <v>7</v>
      </c>
      <c r="B10" s="126" t="s">
        <v>337</v>
      </c>
      <c r="C10" s="227" t="s">
        <v>338</v>
      </c>
      <c r="D10" s="128" t="n">
        <f aca="false">VLOOKUP(C10,'[1]PREÇO ATUAL'!$A$1:$D$1048576,4,0)</f>
        <v>96.368</v>
      </c>
      <c r="E10" s="129" t="n">
        <v>2.2</v>
      </c>
      <c r="F10" s="228"/>
      <c r="G10" s="130"/>
      <c r="H10" s="130"/>
      <c r="I10" s="129" t="n">
        <v>2.2</v>
      </c>
      <c r="J10" s="130"/>
      <c r="K10" s="228"/>
      <c r="L10" s="130"/>
      <c r="M10" s="129" t="n">
        <v>2.2</v>
      </c>
      <c r="N10" s="228"/>
      <c r="O10" s="228"/>
      <c r="P10" s="228"/>
      <c r="Q10" s="228"/>
      <c r="R10" s="228"/>
      <c r="S10" s="228"/>
      <c r="T10" s="134" t="n">
        <f aca="false">$D$10*E10</f>
        <v>212.0096</v>
      </c>
      <c r="U10" s="134" t="n">
        <f aca="false">$D$10*F10</f>
        <v>0</v>
      </c>
      <c r="V10" s="134" t="n">
        <f aca="false">$D$10*G10</f>
        <v>0</v>
      </c>
      <c r="W10" s="134" t="n">
        <f aca="false">$D$10*H10</f>
        <v>0</v>
      </c>
      <c r="X10" s="134" t="n">
        <f aca="false">$D$10*I10</f>
        <v>212.0096</v>
      </c>
      <c r="Y10" s="134" t="n">
        <f aca="false">$D$10*J10</f>
        <v>0</v>
      </c>
      <c r="Z10" s="134" t="n">
        <f aca="false">$D$10*K10</f>
        <v>0</v>
      </c>
      <c r="AA10" s="134" t="n">
        <f aca="false">$D$10*L10</f>
        <v>0</v>
      </c>
      <c r="AB10" s="134" t="n">
        <f aca="false">$D$10*M10</f>
        <v>212.0096</v>
      </c>
      <c r="AC10" s="134" t="n">
        <f aca="false">$D$10*N10</f>
        <v>0</v>
      </c>
      <c r="AD10" s="229"/>
      <c r="AE10" s="229"/>
      <c r="AF10" s="229"/>
      <c r="AG10" s="229"/>
      <c r="AH10" s="229"/>
      <c r="AI10" s="136" t="n">
        <f aca="false">AJ10/$AI$2</f>
        <v>0.0257459844559586</v>
      </c>
      <c r="AJ10" s="134" t="n">
        <f aca="false">SUM(T10:AC10)</f>
        <v>636.0288</v>
      </c>
    </row>
    <row r="11" customFormat="false" ht="15" hidden="false" customHeight="false" outlineLevel="0" collapsed="false">
      <c r="A11" s="137" t="n">
        <v>8</v>
      </c>
      <c r="B11" s="138" t="s">
        <v>339</v>
      </c>
      <c r="C11" s="230" t="s">
        <v>338</v>
      </c>
      <c r="D11" s="140" t="n">
        <f aca="false">VLOOKUP(C11,'[1]PREÇO ATUAL'!$A$1:$D$1048576,4,0)</f>
        <v>96.368</v>
      </c>
      <c r="E11" s="178"/>
      <c r="F11" s="231"/>
      <c r="G11" s="231"/>
      <c r="H11" s="231"/>
      <c r="I11" s="141" t="n">
        <v>1.5</v>
      </c>
      <c r="J11" s="231"/>
      <c r="K11" s="231"/>
      <c r="L11" s="231"/>
      <c r="M11" s="231"/>
      <c r="N11" s="141" t="n">
        <v>1.5</v>
      </c>
      <c r="O11" s="141"/>
      <c r="P11" s="141"/>
      <c r="Q11" s="141"/>
      <c r="R11" s="141"/>
      <c r="S11" s="141"/>
      <c r="T11" s="142" t="n">
        <f aca="false">$D$11*E11</f>
        <v>0</v>
      </c>
      <c r="U11" s="142" t="n">
        <f aca="false">$D$11*F11</f>
        <v>0</v>
      </c>
      <c r="V11" s="142" t="n">
        <f aca="false">$D$11*G11</f>
        <v>0</v>
      </c>
      <c r="W11" s="142" t="n">
        <f aca="false">$D$11*H11</f>
        <v>0</v>
      </c>
      <c r="X11" s="142" t="n">
        <f aca="false">$D$11*I11</f>
        <v>144.552</v>
      </c>
      <c r="Y11" s="142" t="n">
        <f aca="false">$D$11*J11</f>
        <v>0</v>
      </c>
      <c r="Z11" s="142" t="n">
        <f aca="false">$D$11*K11</f>
        <v>0</v>
      </c>
      <c r="AA11" s="142" t="n">
        <f aca="false">$D$11*L11</f>
        <v>0</v>
      </c>
      <c r="AB11" s="142" t="n">
        <f aca="false">$D$11*M11</f>
        <v>0</v>
      </c>
      <c r="AC11" s="142" t="n">
        <f aca="false">$D$11*N11</f>
        <v>144.552</v>
      </c>
      <c r="AD11" s="232"/>
      <c r="AE11" s="232"/>
      <c r="AF11" s="232"/>
      <c r="AG11" s="232"/>
      <c r="AH11" s="232"/>
      <c r="AI11" s="144" t="n">
        <f aca="false">AJ11/$AI$2</f>
        <v>0.0117027202072539</v>
      </c>
      <c r="AJ11" s="142" t="n">
        <f aca="false">SUM(T11:AC11)</f>
        <v>289.104</v>
      </c>
    </row>
    <row r="12" customFormat="false" ht="15" hidden="false" customHeight="true" outlineLevel="0" collapsed="false">
      <c r="A12" s="125" t="n">
        <v>9</v>
      </c>
      <c r="B12" s="126" t="s">
        <v>340</v>
      </c>
      <c r="C12" s="227" t="s">
        <v>308</v>
      </c>
      <c r="D12" s="128" t="n">
        <f aca="false">VLOOKUP(C12,'[1]PREÇO ATUAL'!$A$1:$D$1048576,4,0)</f>
        <v>32.6983628145484</v>
      </c>
      <c r="E12" s="129"/>
      <c r="F12" s="228"/>
      <c r="G12" s="130"/>
      <c r="H12" s="130"/>
      <c r="I12" s="129"/>
      <c r="J12" s="130"/>
      <c r="K12" s="228"/>
      <c r="L12" s="130"/>
      <c r="M12" s="129"/>
      <c r="N12" s="228"/>
      <c r="O12" s="228"/>
      <c r="P12" s="228"/>
      <c r="Q12" s="228"/>
      <c r="R12" s="228"/>
      <c r="S12" s="228"/>
      <c r="T12" s="134" t="n">
        <f aca="false">$D$12*E12</f>
        <v>0</v>
      </c>
      <c r="U12" s="134" t="n">
        <f aca="false">$D$12*F12</f>
        <v>0</v>
      </c>
      <c r="V12" s="134" t="n">
        <f aca="false">$D$12*G12</f>
        <v>0</v>
      </c>
      <c r="W12" s="134" t="n">
        <f aca="false">$D$12*H12</f>
        <v>0</v>
      </c>
      <c r="X12" s="134" t="n">
        <f aca="false">$D$12*I12</f>
        <v>0</v>
      </c>
      <c r="Y12" s="134" t="n">
        <f aca="false">$D$12*J12</f>
        <v>0</v>
      </c>
      <c r="Z12" s="134" t="n">
        <f aca="false">$D$12*K12</f>
        <v>0</v>
      </c>
      <c r="AA12" s="134" t="n">
        <f aca="false">$D$12*L12</f>
        <v>0</v>
      </c>
      <c r="AB12" s="134" t="n">
        <f aca="false">$D$12*M12</f>
        <v>0</v>
      </c>
      <c r="AC12" s="134" t="n">
        <f aca="false">$D$12*N12</f>
        <v>0</v>
      </c>
      <c r="AD12" s="229"/>
      <c r="AE12" s="229"/>
      <c r="AF12" s="229"/>
      <c r="AG12" s="229"/>
      <c r="AH12" s="229"/>
      <c r="AI12" s="136" t="n">
        <f aca="false">AJ12/$AI$2</f>
        <v>0</v>
      </c>
      <c r="AJ12" s="134" t="n">
        <f aca="false">SUM(T12:AC12)</f>
        <v>0</v>
      </c>
    </row>
    <row r="13" customFormat="false" ht="15" hidden="false" customHeight="false" outlineLevel="0" collapsed="false">
      <c r="A13" s="137" t="n">
        <v>10</v>
      </c>
      <c r="B13" s="138" t="s">
        <v>341</v>
      </c>
      <c r="C13" s="230" t="s">
        <v>263</v>
      </c>
      <c r="D13" s="140" t="n">
        <f aca="false">VLOOKUP(C13,'[1]PREÇO ATUAL'!$A$1:$D$1048576,4,0)</f>
        <v>98.4735649675258</v>
      </c>
      <c r="E13" s="141" t="n">
        <v>6.6</v>
      </c>
      <c r="F13" s="141" t="n">
        <v>6.6</v>
      </c>
      <c r="G13" s="141" t="n">
        <v>6.6</v>
      </c>
      <c r="H13" s="141" t="n">
        <v>6.6</v>
      </c>
      <c r="I13" s="141" t="n">
        <v>6.6</v>
      </c>
      <c r="J13" s="141" t="n">
        <v>6.6</v>
      </c>
      <c r="K13" s="141" t="n">
        <v>6.6</v>
      </c>
      <c r="L13" s="141" t="n">
        <v>6.6</v>
      </c>
      <c r="M13" s="141" t="n">
        <v>6.6</v>
      </c>
      <c r="N13" s="141" t="n">
        <v>6.6</v>
      </c>
      <c r="O13" s="141"/>
      <c r="P13" s="141"/>
      <c r="Q13" s="141"/>
      <c r="R13" s="141"/>
      <c r="S13" s="141"/>
      <c r="T13" s="142" t="n">
        <f aca="false">$D$13*E13</f>
        <v>649.92552878567</v>
      </c>
      <c r="U13" s="142" t="n">
        <f aca="false">$D$13*F13</f>
        <v>649.92552878567</v>
      </c>
      <c r="V13" s="142" t="n">
        <f aca="false">$D$13*G13</f>
        <v>649.92552878567</v>
      </c>
      <c r="W13" s="142" t="n">
        <f aca="false">$D$13*H13</f>
        <v>649.92552878567</v>
      </c>
      <c r="X13" s="142" t="n">
        <f aca="false">$D$13*I13</f>
        <v>649.92552878567</v>
      </c>
      <c r="Y13" s="142" t="n">
        <f aca="false">$D$13*J13</f>
        <v>649.92552878567</v>
      </c>
      <c r="Z13" s="142" t="n">
        <f aca="false">$D$13*K13</f>
        <v>649.92552878567</v>
      </c>
      <c r="AA13" s="142" t="n">
        <f aca="false">$D$13*L13</f>
        <v>649.92552878567</v>
      </c>
      <c r="AB13" s="142" t="n">
        <f aca="false">$D$13*M13</f>
        <v>649.92552878567</v>
      </c>
      <c r="AC13" s="142" t="n">
        <f aca="false">$D$13*N13</f>
        <v>649.92552878567</v>
      </c>
      <c r="AD13" s="232"/>
      <c r="AE13" s="232"/>
      <c r="AF13" s="232"/>
      <c r="AG13" s="232"/>
      <c r="AH13" s="232"/>
      <c r="AI13" s="144" t="n">
        <f aca="false">AJ13/$AI$2</f>
        <v>0.263085139566738</v>
      </c>
      <c r="AJ13" s="142" t="n">
        <f aca="false">SUM(T13:AC13)</f>
        <v>6499.2552878567</v>
      </c>
    </row>
    <row r="14" customFormat="false" ht="15" hidden="false" customHeight="false" outlineLevel="0" collapsed="false">
      <c r="A14" s="125" t="n">
        <v>11</v>
      </c>
      <c r="B14" s="126" t="s">
        <v>313</v>
      </c>
      <c r="C14" s="227" t="s">
        <v>65</v>
      </c>
      <c r="D14" s="128" t="n">
        <f aca="false">VLOOKUP(C14,'[1]PREÇO ATUAL'!$A$1:$D$1048576,4,0)</f>
        <v>342</v>
      </c>
      <c r="E14" s="179" t="n">
        <v>2.95</v>
      </c>
      <c r="F14" s="179" t="n">
        <v>2.65</v>
      </c>
      <c r="G14" s="179" t="n">
        <v>2.65</v>
      </c>
      <c r="H14" s="179" t="n">
        <v>2.75</v>
      </c>
      <c r="I14" s="179" t="n">
        <v>3.25</v>
      </c>
      <c r="J14" s="179" t="n">
        <v>2.65</v>
      </c>
      <c r="K14" s="179" t="n">
        <v>2.65</v>
      </c>
      <c r="L14" s="179" t="n">
        <v>4.5</v>
      </c>
      <c r="M14" s="179" t="n">
        <v>2.95</v>
      </c>
      <c r="N14" s="179" t="n">
        <v>2.95</v>
      </c>
      <c r="O14" s="179"/>
      <c r="P14" s="179"/>
      <c r="Q14" s="179"/>
      <c r="R14" s="179"/>
      <c r="S14" s="179"/>
      <c r="T14" s="134" t="n">
        <f aca="false">$D$14*E14</f>
        <v>1008.9</v>
      </c>
      <c r="U14" s="134" t="n">
        <f aca="false">$D$14*F14</f>
        <v>906.3</v>
      </c>
      <c r="V14" s="134" t="n">
        <f aca="false">$D$14*G14</f>
        <v>906.3</v>
      </c>
      <c r="W14" s="134" t="n">
        <f aca="false">$D$14*H14</f>
        <v>940.5</v>
      </c>
      <c r="X14" s="134" t="n">
        <f aca="false">$D$14*I14</f>
        <v>1111.5</v>
      </c>
      <c r="Y14" s="134" t="n">
        <f aca="false">$D$14*J14</f>
        <v>906.3</v>
      </c>
      <c r="Z14" s="134" t="n">
        <f aca="false">$D$14*K14</f>
        <v>906.3</v>
      </c>
      <c r="AA14" s="134" t="n">
        <f aca="false">$D$14*L14</f>
        <v>1539</v>
      </c>
      <c r="AB14" s="134" t="n">
        <f aca="false">$D$14*M14</f>
        <v>1008.9</v>
      </c>
      <c r="AC14" s="134" t="n">
        <f aca="false">$D$14*N14</f>
        <v>1008.9</v>
      </c>
      <c r="AD14" s="229"/>
      <c r="AE14" s="229"/>
      <c r="AF14" s="229"/>
      <c r="AG14" s="229"/>
      <c r="AH14" s="229"/>
      <c r="AI14" s="136" t="n">
        <f aca="false">AJ14/$AI$2</f>
        <v>0.414625161917098</v>
      </c>
      <c r="AJ14" s="134" t="n">
        <f aca="false">SUM(T14:AC14)</f>
        <v>10242.9</v>
      </c>
    </row>
    <row r="15" customFormat="false" ht="15" hidden="false" customHeight="false" outlineLevel="0" collapsed="false">
      <c r="H15" s="71"/>
      <c r="L15" s="71"/>
    </row>
    <row r="16" customFormat="false" ht="15.75" hidden="false" customHeight="true" outlineLevel="0" collapsed="false"/>
    <row r="17" customFormat="false" ht="15" hidden="false" customHeight="true" outlineLevel="0" collapsed="false">
      <c r="A17" s="198" t="s">
        <v>14</v>
      </c>
      <c r="B17" s="198"/>
      <c r="C17" s="198"/>
      <c r="D17" s="198"/>
      <c r="E17" s="217" t="s">
        <v>29</v>
      </c>
      <c r="F17" s="217"/>
      <c r="G17" s="217"/>
      <c r="H17" s="217"/>
      <c r="I17" s="217"/>
      <c r="J17" s="217"/>
      <c r="K17" s="217"/>
      <c r="L17" s="217"/>
      <c r="M17" s="217"/>
      <c r="N17" s="217"/>
      <c r="O17" s="218"/>
      <c r="P17" s="218"/>
      <c r="Q17" s="218"/>
      <c r="R17" s="218"/>
      <c r="S17" s="218"/>
      <c r="T17" s="208" t="s">
        <v>30</v>
      </c>
      <c r="U17" s="208"/>
      <c r="V17" s="208"/>
      <c r="W17" s="208"/>
      <c r="X17" s="208"/>
      <c r="Y17" s="208"/>
      <c r="Z17" s="208"/>
      <c r="AA17" s="208"/>
      <c r="AB17" s="208"/>
      <c r="AC17" s="208"/>
      <c r="AD17" s="219"/>
      <c r="AE17" s="219"/>
      <c r="AF17" s="219"/>
      <c r="AG17" s="219"/>
      <c r="AH17" s="219"/>
      <c r="AI17" s="78" t="s">
        <v>31</v>
      </c>
      <c r="AJ17" s="78"/>
    </row>
    <row r="18" customFormat="false" ht="15" hidden="false" customHeight="true" outlineLevel="0" collapsed="false">
      <c r="A18" s="198"/>
      <c r="B18" s="198"/>
      <c r="C18" s="198"/>
      <c r="D18" s="198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78"/>
      <c r="P18" s="78"/>
      <c r="Q18" s="78"/>
      <c r="R18" s="78"/>
      <c r="S18" s="78"/>
      <c r="T18" s="43" t="n">
        <f aca="false">MROUND(SUM(T20:T31),1)</f>
        <v>2304</v>
      </c>
      <c r="U18" s="43" t="n">
        <f aca="false">MROUND(SUM(U20:U31),1)</f>
        <v>2294</v>
      </c>
      <c r="V18" s="43" t="n">
        <f aca="false">MROUND(SUM(V20:V31),1)</f>
        <v>1989</v>
      </c>
      <c r="W18" s="43" t="n">
        <f aca="false">MROUND(SUM(W20:W31),1)</f>
        <v>2328</v>
      </c>
      <c r="X18" s="43" t="n">
        <f aca="false">MROUND(SUM(X20:X31),1)</f>
        <v>2551</v>
      </c>
      <c r="Y18" s="43" t="n">
        <f aca="false">MROUND(SUM(Y20:Y31),1)</f>
        <v>2294</v>
      </c>
      <c r="Z18" s="43" t="n">
        <f aca="false">MROUND(SUM(Z20:Z31),1)</f>
        <v>1989</v>
      </c>
      <c r="AA18" s="43" t="n">
        <f aca="false">MROUND(SUM(AA20:AA31),1)</f>
        <v>4998</v>
      </c>
      <c r="AB18" s="43" t="n">
        <f aca="false">MROUND(SUM(AB20:AB31),1)</f>
        <v>2304</v>
      </c>
      <c r="AC18" s="43" t="n">
        <f aca="false">MROUND(SUM(AC20:AC31),1)</f>
        <v>2541</v>
      </c>
      <c r="AD18" s="226"/>
      <c r="AE18" s="226"/>
      <c r="AF18" s="226"/>
      <c r="AG18" s="226"/>
      <c r="AH18" s="226"/>
      <c r="AI18" s="44" t="n">
        <f aca="false">SUM(T18:AC18)</f>
        <v>25592</v>
      </c>
      <c r="AJ18" s="44"/>
    </row>
    <row r="19" customFormat="false" ht="15" hidden="false" customHeight="false" outlineLevel="0" collapsed="false">
      <c r="A19" s="45" t="s">
        <v>32</v>
      </c>
      <c r="B19" s="45" t="s">
        <v>33</v>
      </c>
      <c r="C19" s="45" t="s">
        <v>34</v>
      </c>
      <c r="D19" s="200" t="s">
        <v>35</v>
      </c>
      <c r="E19" s="48" t="s">
        <v>186</v>
      </c>
      <c r="F19" s="48" t="s">
        <v>187</v>
      </c>
      <c r="G19" s="48" t="s">
        <v>188</v>
      </c>
      <c r="H19" s="48" t="s">
        <v>189</v>
      </c>
      <c r="I19" s="48" t="s">
        <v>190</v>
      </c>
      <c r="J19" s="48" t="s">
        <v>191</v>
      </c>
      <c r="K19" s="48" t="s">
        <v>192</v>
      </c>
      <c r="L19" s="48" t="s">
        <v>193</v>
      </c>
      <c r="M19" s="48" t="s">
        <v>194</v>
      </c>
      <c r="N19" s="48" t="s">
        <v>195</v>
      </c>
      <c r="O19" s="48"/>
      <c r="P19" s="48"/>
      <c r="Q19" s="48"/>
      <c r="R19" s="48"/>
      <c r="S19" s="48"/>
      <c r="T19" s="48" t="n">
        <v>10000</v>
      </c>
      <c r="U19" s="48" t="n">
        <v>20000</v>
      </c>
      <c r="V19" s="48" t="n">
        <v>30000</v>
      </c>
      <c r="W19" s="48" t="n">
        <v>40000</v>
      </c>
      <c r="X19" s="48" t="n">
        <v>50000</v>
      </c>
      <c r="Y19" s="48" t="n">
        <v>60000</v>
      </c>
      <c r="Z19" s="48" t="n">
        <v>70000</v>
      </c>
      <c r="AA19" s="48" t="n">
        <v>80000</v>
      </c>
      <c r="AB19" s="48" t="n">
        <v>90000</v>
      </c>
      <c r="AC19" s="48" t="n">
        <v>100000</v>
      </c>
      <c r="AD19" s="50"/>
      <c r="AE19" s="50"/>
      <c r="AF19" s="50"/>
      <c r="AG19" s="50"/>
      <c r="AH19" s="50"/>
      <c r="AI19" s="51" t="s">
        <v>46</v>
      </c>
      <c r="AJ19" s="45" t="s">
        <v>47</v>
      </c>
      <c r="AL19" s="0" t="n">
        <v>1186</v>
      </c>
    </row>
    <row r="20" customFormat="false" ht="15" hidden="false" customHeight="false" outlineLevel="0" collapsed="false">
      <c r="A20" s="52" t="n">
        <v>1</v>
      </c>
      <c r="B20" s="53" t="s">
        <v>291</v>
      </c>
      <c r="C20" s="201" t="s">
        <v>244</v>
      </c>
      <c r="D20" s="55" t="n">
        <f aca="false">VLOOKUP(C20,'[1]PREÇO ATUAL'!$A$1:$D$1048576,4,0)</f>
        <v>115.4</v>
      </c>
      <c r="E20" s="56" t="n">
        <v>1</v>
      </c>
      <c r="F20" s="56" t="n">
        <v>1</v>
      </c>
      <c r="G20" s="56" t="n">
        <v>1</v>
      </c>
      <c r="H20" s="56" t="n">
        <v>1</v>
      </c>
      <c r="I20" s="56" t="n">
        <v>1</v>
      </c>
      <c r="J20" s="56" t="n">
        <v>1</v>
      </c>
      <c r="K20" s="56" t="n">
        <v>1</v>
      </c>
      <c r="L20" s="56" t="n">
        <v>1</v>
      </c>
      <c r="M20" s="56" t="n">
        <v>1</v>
      </c>
      <c r="N20" s="56" t="n">
        <v>1</v>
      </c>
      <c r="O20" s="56"/>
      <c r="P20" s="56"/>
      <c r="Q20" s="56"/>
      <c r="R20" s="56"/>
      <c r="S20" s="56"/>
      <c r="T20" s="58" t="n">
        <f aca="false">$D$20*E20</f>
        <v>115.4</v>
      </c>
      <c r="U20" s="58" t="n">
        <f aca="false">$D$20*F20</f>
        <v>115.4</v>
      </c>
      <c r="V20" s="58" t="n">
        <f aca="false">$D$20*G20</f>
        <v>115.4</v>
      </c>
      <c r="W20" s="58" t="n">
        <f aca="false">$D$20*H20</f>
        <v>115.4</v>
      </c>
      <c r="X20" s="58" t="n">
        <f aca="false">$D$20*I20</f>
        <v>115.4</v>
      </c>
      <c r="Y20" s="58" t="n">
        <f aca="false">$D$20*J20</f>
        <v>115.4</v>
      </c>
      <c r="Z20" s="58" t="n">
        <f aca="false">$D$20*K20</f>
        <v>115.4</v>
      </c>
      <c r="AA20" s="58" t="n">
        <f aca="false">$D$20*L20</f>
        <v>115.4</v>
      </c>
      <c r="AB20" s="58" t="n">
        <f aca="false">$D$20*M20</f>
        <v>115.4</v>
      </c>
      <c r="AC20" s="58" t="n">
        <f aca="false">$D$20*N20</f>
        <v>115.4</v>
      </c>
      <c r="AD20" s="115"/>
      <c r="AE20" s="115"/>
      <c r="AF20" s="115"/>
      <c r="AG20" s="115"/>
      <c r="AH20" s="115"/>
      <c r="AI20" s="94" t="n">
        <f aca="false">AJ20/$AI$2</f>
        <v>0.0467130829015544</v>
      </c>
      <c r="AJ20" s="58" t="n">
        <f aca="false">SUM(T20:AC20)</f>
        <v>1154</v>
      </c>
      <c r="AL20" s="0" t="n">
        <v>820</v>
      </c>
      <c r="AM20" s="0" t="n">
        <f aca="false">AL20/AL19</f>
        <v>0.691399662731872</v>
      </c>
    </row>
    <row r="21" customFormat="false" ht="15" hidden="false" customHeight="false" outlineLevel="0" collapsed="false">
      <c r="A21" s="60" t="n">
        <v>2</v>
      </c>
      <c r="B21" s="61" t="s">
        <v>290</v>
      </c>
      <c r="C21" s="202" t="s">
        <v>329</v>
      </c>
      <c r="D21" s="63" t="n">
        <f aca="false">VLOOKUP(C21,'[1]PREÇO ATUAL'!$A$1:$D$1048576,4,0)</f>
        <v>12.867624</v>
      </c>
      <c r="E21" s="64" t="n">
        <v>1</v>
      </c>
      <c r="F21" s="64" t="n">
        <v>1</v>
      </c>
      <c r="G21" s="64" t="n">
        <v>1</v>
      </c>
      <c r="H21" s="64" t="n">
        <v>1</v>
      </c>
      <c r="I21" s="64" t="n">
        <v>1</v>
      </c>
      <c r="J21" s="64" t="n">
        <v>1</v>
      </c>
      <c r="K21" s="64" t="n">
        <v>1</v>
      </c>
      <c r="L21" s="64" t="n">
        <v>1</v>
      </c>
      <c r="M21" s="64" t="n">
        <v>1</v>
      </c>
      <c r="N21" s="64" t="n">
        <v>1</v>
      </c>
      <c r="O21" s="64"/>
      <c r="P21" s="64"/>
      <c r="Q21" s="64"/>
      <c r="R21" s="64"/>
      <c r="S21" s="64"/>
      <c r="T21" s="66" t="n">
        <f aca="false">$D$21*E21</f>
        <v>12.867624</v>
      </c>
      <c r="U21" s="66" t="n">
        <f aca="false">$D$21*F21</f>
        <v>12.867624</v>
      </c>
      <c r="V21" s="66" t="n">
        <f aca="false">$D$21*G21</f>
        <v>12.867624</v>
      </c>
      <c r="W21" s="66" t="n">
        <f aca="false">$D$21*H21</f>
        <v>12.867624</v>
      </c>
      <c r="X21" s="66" t="n">
        <f aca="false">$D$21*I21</f>
        <v>12.867624</v>
      </c>
      <c r="Y21" s="66" t="n">
        <f aca="false">$D$21*J21</f>
        <v>12.867624</v>
      </c>
      <c r="Z21" s="66" t="n">
        <f aca="false">$D$21*K21</f>
        <v>12.867624</v>
      </c>
      <c r="AA21" s="66" t="n">
        <f aca="false">$D$21*L21</f>
        <v>12.867624</v>
      </c>
      <c r="AB21" s="66" t="n">
        <f aca="false">$D$21*M21</f>
        <v>12.867624</v>
      </c>
      <c r="AC21" s="66" t="n">
        <f aca="false">$D$21*N21</f>
        <v>12.867624</v>
      </c>
      <c r="AD21" s="116"/>
      <c r="AE21" s="116"/>
      <c r="AF21" s="116"/>
      <c r="AG21" s="116"/>
      <c r="AH21" s="116"/>
      <c r="AI21" s="95" t="n">
        <f aca="false">AJ21/$AI$2</f>
        <v>0.00520872085492228</v>
      </c>
      <c r="AJ21" s="66" t="n">
        <f aca="false">SUM(T21:AC21)</f>
        <v>128.67624</v>
      </c>
      <c r="AL21" s="0" t="n">
        <f aca="false">AL19-AL20</f>
        <v>366</v>
      </c>
      <c r="AM21" s="0" t="n">
        <f aca="false">AL21/AL19</f>
        <v>0.308600337268128</v>
      </c>
    </row>
    <row r="22" customFormat="false" ht="15" hidden="false" customHeight="false" outlineLevel="0" collapsed="false">
      <c r="A22" s="52" t="n">
        <v>3</v>
      </c>
      <c r="B22" s="53" t="s">
        <v>330</v>
      </c>
      <c r="C22" s="201" t="s">
        <v>331</v>
      </c>
      <c r="D22" s="55" t="n">
        <f aca="false">VLOOKUP(C22,'[1]PREÇO ATUAL'!$A$1:$D$1048576,4,0)</f>
        <v>305</v>
      </c>
      <c r="E22" s="56" t="n">
        <v>1</v>
      </c>
      <c r="F22" s="56" t="n">
        <v>1</v>
      </c>
      <c r="G22" s="56" t="n">
        <v>1</v>
      </c>
      <c r="H22" s="56" t="n">
        <v>1</v>
      </c>
      <c r="I22" s="56" t="n">
        <v>1</v>
      </c>
      <c r="J22" s="56" t="n">
        <v>1</v>
      </c>
      <c r="K22" s="56" t="n">
        <v>1</v>
      </c>
      <c r="L22" s="56" t="n">
        <v>1</v>
      </c>
      <c r="M22" s="56" t="n">
        <v>1</v>
      </c>
      <c r="N22" s="56" t="n">
        <v>1</v>
      </c>
      <c r="O22" s="56"/>
      <c r="P22" s="56"/>
      <c r="Q22" s="56"/>
      <c r="R22" s="56"/>
      <c r="S22" s="56"/>
      <c r="T22" s="58" t="n">
        <f aca="false">D22*E22</f>
        <v>305</v>
      </c>
      <c r="U22" s="58" t="n">
        <f aca="false">$D$6*F22</f>
        <v>305</v>
      </c>
      <c r="V22" s="58" t="n">
        <f aca="false">$D$6*G22</f>
        <v>305</v>
      </c>
      <c r="W22" s="58" t="n">
        <f aca="false">$D$6*H22</f>
        <v>305</v>
      </c>
      <c r="X22" s="58" t="n">
        <f aca="false">$D$6*I22</f>
        <v>305</v>
      </c>
      <c r="Y22" s="58" t="n">
        <f aca="false">$D$6*J22</f>
        <v>305</v>
      </c>
      <c r="Z22" s="58" t="n">
        <f aca="false">$D$6*K22</f>
        <v>305</v>
      </c>
      <c r="AA22" s="58" t="n">
        <f aca="false">$D$6*L22</f>
        <v>305</v>
      </c>
      <c r="AB22" s="58" t="n">
        <f aca="false">$D$6*M22</f>
        <v>305</v>
      </c>
      <c r="AC22" s="58" t="n">
        <f aca="false">$D$6*N22</f>
        <v>305</v>
      </c>
      <c r="AD22" s="115"/>
      <c r="AE22" s="115"/>
      <c r="AF22" s="115"/>
      <c r="AG22" s="115"/>
      <c r="AH22" s="115"/>
      <c r="AI22" s="94" t="n">
        <f aca="false">AJ22/$AI$2</f>
        <v>0.123461787564767</v>
      </c>
      <c r="AJ22" s="58" t="n">
        <f aca="false">SUM(T22:AC22)</f>
        <v>3050</v>
      </c>
    </row>
    <row r="23" customFormat="false" ht="15" hidden="false" customHeight="false" outlineLevel="0" collapsed="false">
      <c r="A23" s="60" t="n">
        <v>4</v>
      </c>
      <c r="B23" s="61" t="s">
        <v>332</v>
      </c>
      <c r="C23" s="202" t="s">
        <v>333</v>
      </c>
      <c r="D23" s="63" t="n">
        <f aca="false">VLOOKUP(C23,'[1]PREÇO ATUAL'!$A$1:$D$1048576,4,0)</f>
        <v>304.39</v>
      </c>
      <c r="E23" s="64"/>
      <c r="F23" s="64" t="n">
        <v>1</v>
      </c>
      <c r="G23" s="64"/>
      <c r="H23" s="64" t="n">
        <v>1</v>
      </c>
      <c r="I23" s="64"/>
      <c r="J23" s="64" t="n">
        <v>1</v>
      </c>
      <c r="K23" s="64"/>
      <c r="L23" s="64" t="n">
        <v>1</v>
      </c>
      <c r="M23" s="64"/>
      <c r="N23" s="64" t="n">
        <v>1</v>
      </c>
      <c r="O23" s="64"/>
      <c r="P23" s="64"/>
      <c r="Q23" s="64"/>
      <c r="R23" s="64"/>
      <c r="S23" s="64"/>
      <c r="T23" s="66" t="n">
        <f aca="false">D23*E23</f>
        <v>0</v>
      </c>
      <c r="U23" s="66" t="n">
        <f aca="false">$D$7*F23</f>
        <v>304.39</v>
      </c>
      <c r="V23" s="66" t="n">
        <f aca="false">$D$7*G23</f>
        <v>0</v>
      </c>
      <c r="W23" s="66" t="n">
        <f aca="false">$D$7*H23</f>
        <v>304.39</v>
      </c>
      <c r="X23" s="66" t="n">
        <f aca="false">$D$7*I23</f>
        <v>0</v>
      </c>
      <c r="Y23" s="66" t="n">
        <f aca="false">$D$7*J23</f>
        <v>304.39</v>
      </c>
      <c r="Z23" s="66" t="n">
        <f aca="false">$D$7*K23</f>
        <v>0</v>
      </c>
      <c r="AA23" s="66" t="n">
        <f aca="false">$D$7*L23</f>
        <v>304.39</v>
      </c>
      <c r="AB23" s="66" t="n">
        <f aca="false">$D$7*M23</f>
        <v>0</v>
      </c>
      <c r="AC23" s="66" t="n">
        <f aca="false">$D$7*N23</f>
        <v>304.39</v>
      </c>
      <c r="AD23" s="116"/>
      <c r="AE23" s="116"/>
      <c r="AF23" s="116"/>
      <c r="AG23" s="116"/>
      <c r="AH23" s="116"/>
      <c r="AI23" s="95" t="n">
        <f aca="false">AJ23/$AI$2</f>
        <v>0.0616074319948187</v>
      </c>
      <c r="AJ23" s="66" t="n">
        <f aca="false">SUM(T23:AC23)</f>
        <v>1521.95</v>
      </c>
    </row>
    <row r="24" customFormat="false" ht="15" hidden="false" customHeight="false" outlineLevel="0" collapsed="false">
      <c r="A24" s="52" t="n">
        <v>5</v>
      </c>
      <c r="B24" s="53" t="s">
        <v>334</v>
      </c>
      <c r="C24" s="201" t="s">
        <v>252</v>
      </c>
      <c r="D24" s="55" t="n">
        <f aca="false">VLOOKUP(C24,'[1]PREÇO ATUAL'!$A$1:$D$1048576,4,0)</f>
        <v>581.33</v>
      </c>
      <c r="E24" s="56"/>
      <c r="F24" s="56"/>
      <c r="G24" s="56"/>
      <c r="H24" s="56"/>
      <c r="I24" s="56"/>
      <c r="J24" s="56"/>
      <c r="K24" s="56"/>
      <c r="L24" s="56" t="n">
        <v>1</v>
      </c>
      <c r="M24" s="56"/>
      <c r="N24" s="56"/>
      <c r="O24" s="56"/>
      <c r="P24" s="56"/>
      <c r="Q24" s="56"/>
      <c r="R24" s="56"/>
      <c r="S24" s="56"/>
      <c r="T24" s="58" t="n">
        <f aca="false">D24*E24</f>
        <v>0</v>
      </c>
      <c r="U24" s="58" t="n">
        <f aca="false">$D$8*F24</f>
        <v>0</v>
      </c>
      <c r="V24" s="58" t="n">
        <f aca="false">$D$8*G24</f>
        <v>0</v>
      </c>
      <c r="W24" s="58" t="n">
        <f aca="false">$D$8*H24</f>
        <v>0</v>
      </c>
      <c r="X24" s="58" t="n">
        <f aca="false">$D$8*I24</f>
        <v>0</v>
      </c>
      <c r="Y24" s="58" t="n">
        <f aca="false">$D$8*J24</f>
        <v>0</v>
      </c>
      <c r="Z24" s="58" t="n">
        <f aca="false">$D$8*K24</f>
        <v>0</v>
      </c>
      <c r="AA24" s="58" t="n">
        <f aca="false">$D$8*L24</f>
        <v>581.33</v>
      </c>
      <c r="AB24" s="58" t="n">
        <f aca="false">$D$8*M24</f>
        <v>0</v>
      </c>
      <c r="AC24" s="58" t="n">
        <f aca="false">$D$8*N24</f>
        <v>0</v>
      </c>
      <c r="AD24" s="115"/>
      <c r="AE24" s="115"/>
      <c r="AF24" s="115"/>
      <c r="AG24" s="115"/>
      <c r="AH24" s="115"/>
      <c r="AI24" s="94" t="n">
        <f aca="false">AJ24/$AI$2</f>
        <v>0.0235318167098446</v>
      </c>
      <c r="AJ24" s="58" t="n">
        <f aca="false">SUM(T24:AC24)</f>
        <v>581.33</v>
      </c>
    </row>
    <row r="25" customFormat="false" ht="23.25" hidden="false" customHeight="false" outlineLevel="0" collapsed="false">
      <c r="A25" s="60" t="n">
        <v>6</v>
      </c>
      <c r="B25" s="73" t="s">
        <v>342</v>
      </c>
      <c r="C25" s="202" t="s">
        <v>336</v>
      </c>
      <c r="D25" s="63" t="n">
        <f aca="false">VLOOKUP(C25,'[1]PREÇO ATUAL'!$A$1:$D$1048576,4,0)</f>
        <v>602.5</v>
      </c>
      <c r="E25" s="117"/>
      <c r="F25" s="117"/>
      <c r="G25" s="64"/>
      <c r="H25" s="64"/>
      <c r="I25" s="117"/>
      <c r="J25" s="64"/>
      <c r="K25" s="117"/>
      <c r="L25" s="64" t="n">
        <v>1</v>
      </c>
      <c r="M25" s="64"/>
      <c r="N25" s="117"/>
      <c r="O25" s="117"/>
      <c r="P25" s="117"/>
      <c r="Q25" s="117"/>
      <c r="R25" s="117"/>
      <c r="S25" s="117"/>
      <c r="T25" s="66" t="n">
        <f aca="false">$D$25*E25</f>
        <v>0</v>
      </c>
      <c r="U25" s="66" t="n">
        <f aca="false">$D$25*F25</f>
        <v>0</v>
      </c>
      <c r="V25" s="66" t="n">
        <f aca="false">$D$25*G25</f>
        <v>0</v>
      </c>
      <c r="W25" s="66" t="n">
        <f aca="false">$D$25*H25</f>
        <v>0</v>
      </c>
      <c r="X25" s="66" t="n">
        <f aca="false">$D$25*I25</f>
        <v>0</v>
      </c>
      <c r="Y25" s="66" t="n">
        <f aca="false">$D$25*J25</f>
        <v>0</v>
      </c>
      <c r="Z25" s="66" t="n">
        <f aca="false">$D$25*K25</f>
        <v>0</v>
      </c>
      <c r="AA25" s="66" t="n">
        <f aca="false">$D$25*L25</f>
        <v>602.5</v>
      </c>
      <c r="AB25" s="66" t="n">
        <f aca="false">$D$25*M25</f>
        <v>0</v>
      </c>
      <c r="AC25" s="66" t="n">
        <f aca="false">$D$25*N25</f>
        <v>0</v>
      </c>
      <c r="AD25" s="116"/>
      <c r="AE25" s="116"/>
      <c r="AF25" s="116"/>
      <c r="AG25" s="116"/>
      <c r="AH25" s="116"/>
      <c r="AI25" s="95" t="n">
        <f aca="false">AJ25/$AI$2</f>
        <v>0.0243887629533679</v>
      </c>
      <c r="AJ25" s="66" t="n">
        <f aca="false">SUM(T25:AC25)</f>
        <v>602.5</v>
      </c>
    </row>
    <row r="26" customFormat="false" ht="15" hidden="false" customHeight="false" outlineLevel="0" collapsed="false">
      <c r="A26" s="125" t="n">
        <v>7</v>
      </c>
      <c r="B26" s="126" t="s">
        <v>337</v>
      </c>
      <c r="C26" s="227" t="s">
        <v>338</v>
      </c>
      <c r="D26" s="128" t="n">
        <f aca="false">VLOOKUP(C26,'[1]PREÇO ATUAL'!$A$1:$D$1048576,4,0)</f>
        <v>96.368</v>
      </c>
      <c r="E26" s="129" t="n">
        <v>2.2</v>
      </c>
      <c r="F26" s="228"/>
      <c r="G26" s="130"/>
      <c r="H26" s="130"/>
      <c r="I26" s="129" t="n">
        <v>2.2</v>
      </c>
      <c r="J26" s="130"/>
      <c r="K26" s="228"/>
      <c r="L26" s="130"/>
      <c r="M26" s="129" t="n">
        <v>2.2</v>
      </c>
      <c r="N26" s="228"/>
      <c r="O26" s="228"/>
      <c r="P26" s="228"/>
      <c r="Q26" s="228"/>
      <c r="R26" s="228"/>
      <c r="S26" s="228"/>
      <c r="T26" s="134" t="n">
        <f aca="false">$D$26*E26</f>
        <v>212.0096</v>
      </c>
      <c r="U26" s="134" t="n">
        <f aca="false">$D$26*F26</f>
        <v>0</v>
      </c>
      <c r="V26" s="134" t="n">
        <f aca="false">$D$26*G26</f>
        <v>0</v>
      </c>
      <c r="W26" s="134" t="n">
        <f aca="false">$D$26*H26</f>
        <v>0</v>
      </c>
      <c r="X26" s="134" t="n">
        <f aca="false">$D$26*I26</f>
        <v>212.0096</v>
      </c>
      <c r="Y26" s="134" t="n">
        <f aca="false">$D$26*J26</f>
        <v>0</v>
      </c>
      <c r="Z26" s="134" t="n">
        <f aca="false">$D$26*K26</f>
        <v>0</v>
      </c>
      <c r="AA26" s="134" t="n">
        <f aca="false">$D$26*L26</f>
        <v>0</v>
      </c>
      <c r="AB26" s="134" t="n">
        <f aca="false">$D$26*M26</f>
        <v>212.0096</v>
      </c>
      <c r="AC26" s="134" t="n">
        <f aca="false">$D$26*N26</f>
        <v>0</v>
      </c>
      <c r="AD26" s="229"/>
      <c r="AE26" s="229"/>
      <c r="AF26" s="229"/>
      <c r="AG26" s="229"/>
      <c r="AH26" s="229"/>
      <c r="AI26" s="136" t="n">
        <f aca="false">AJ26/$AI$2</f>
        <v>0.0257459844559586</v>
      </c>
      <c r="AJ26" s="134" t="n">
        <f aca="false">SUM(T26:AC26)</f>
        <v>636.0288</v>
      </c>
    </row>
    <row r="27" customFormat="false" ht="15" hidden="false" customHeight="false" outlineLevel="0" collapsed="false">
      <c r="A27" s="137" t="n">
        <v>8</v>
      </c>
      <c r="B27" s="138" t="s">
        <v>339</v>
      </c>
      <c r="C27" s="230" t="s">
        <v>338</v>
      </c>
      <c r="D27" s="140" t="n">
        <f aca="false">VLOOKUP(C27,'[1]PREÇO ATUAL'!$A$1:$D$1048576,4,0)</f>
        <v>96.368</v>
      </c>
      <c r="E27" s="178"/>
      <c r="F27" s="231"/>
      <c r="G27" s="231"/>
      <c r="H27" s="231"/>
      <c r="I27" s="141" t="n">
        <v>1.5</v>
      </c>
      <c r="J27" s="231"/>
      <c r="K27" s="231"/>
      <c r="L27" s="231"/>
      <c r="M27" s="231"/>
      <c r="N27" s="141" t="n">
        <v>1.5</v>
      </c>
      <c r="O27" s="141"/>
      <c r="P27" s="141"/>
      <c r="Q27" s="141"/>
      <c r="R27" s="141"/>
      <c r="S27" s="141"/>
      <c r="T27" s="142" t="n">
        <f aca="false">$D$27*E27</f>
        <v>0</v>
      </c>
      <c r="U27" s="142" t="n">
        <f aca="false">$D$27*F27</f>
        <v>0</v>
      </c>
      <c r="V27" s="142" t="n">
        <f aca="false">$D$27*G27</f>
        <v>0</v>
      </c>
      <c r="W27" s="142" t="n">
        <f aca="false">$D$27*H27</f>
        <v>0</v>
      </c>
      <c r="X27" s="142" t="n">
        <f aca="false">$D$27*I27</f>
        <v>144.552</v>
      </c>
      <c r="Y27" s="142" t="n">
        <f aca="false">$D$27*J27</f>
        <v>0</v>
      </c>
      <c r="Z27" s="142" t="n">
        <f aca="false">$D$27*K27</f>
        <v>0</v>
      </c>
      <c r="AA27" s="142" t="n">
        <f aca="false">$D$27*L27</f>
        <v>0</v>
      </c>
      <c r="AB27" s="142" t="n">
        <f aca="false">$D$27*M27</f>
        <v>0</v>
      </c>
      <c r="AC27" s="142" t="n">
        <f aca="false">$D$27*N27</f>
        <v>144.552</v>
      </c>
      <c r="AD27" s="232"/>
      <c r="AE27" s="232"/>
      <c r="AF27" s="232"/>
      <c r="AG27" s="232"/>
      <c r="AH27" s="232"/>
      <c r="AI27" s="144" t="n">
        <f aca="false">AJ27/$AI$2</f>
        <v>0.0117027202072539</v>
      </c>
      <c r="AJ27" s="142" t="n">
        <f aca="false">SUM(T27:AC27)</f>
        <v>289.104</v>
      </c>
    </row>
    <row r="28" customFormat="false" ht="15" hidden="false" customHeight="true" outlineLevel="0" collapsed="false">
      <c r="A28" s="125" t="n">
        <v>9</v>
      </c>
      <c r="B28" s="126" t="s">
        <v>340</v>
      </c>
      <c r="C28" s="227" t="s">
        <v>308</v>
      </c>
      <c r="D28" s="128" t="n">
        <f aca="false">VLOOKUP(C28,'[1]PREÇO ATUAL'!$A$1:$D$1048576,4,0)</f>
        <v>32.6983628145484</v>
      </c>
      <c r="E28" s="129"/>
      <c r="F28" s="228"/>
      <c r="G28" s="130"/>
      <c r="H28" s="130"/>
      <c r="I28" s="129"/>
      <c r="J28" s="130"/>
      <c r="K28" s="228"/>
      <c r="L28" s="130"/>
      <c r="M28" s="129"/>
      <c r="N28" s="228"/>
      <c r="O28" s="228"/>
      <c r="P28" s="228"/>
      <c r="Q28" s="228"/>
      <c r="R28" s="228"/>
      <c r="S28" s="228"/>
      <c r="T28" s="134" t="n">
        <f aca="false">$D$28*E28</f>
        <v>0</v>
      </c>
      <c r="U28" s="134" t="n">
        <f aca="false">$D$28*F28</f>
        <v>0</v>
      </c>
      <c r="V28" s="134" t="n">
        <f aca="false">$D$28*G28</f>
        <v>0</v>
      </c>
      <c r="W28" s="134" t="n">
        <f aca="false">$D$28*H28</f>
        <v>0</v>
      </c>
      <c r="X28" s="134" t="n">
        <f aca="false">$D$28*I28</f>
        <v>0</v>
      </c>
      <c r="Y28" s="134" t="n">
        <f aca="false">$D$28*J28</f>
        <v>0</v>
      </c>
      <c r="Z28" s="134" t="n">
        <f aca="false">$D$28*K28</f>
        <v>0</v>
      </c>
      <c r="AA28" s="134" t="n">
        <f aca="false">$D$28*L28</f>
        <v>0</v>
      </c>
      <c r="AB28" s="134" t="n">
        <f aca="false">$D$28*M28</f>
        <v>0</v>
      </c>
      <c r="AC28" s="134" t="n">
        <f aca="false">$D$28*N28</f>
        <v>0</v>
      </c>
      <c r="AD28" s="229"/>
      <c r="AE28" s="229"/>
      <c r="AF28" s="229"/>
      <c r="AG28" s="229"/>
      <c r="AH28" s="229"/>
      <c r="AI28" s="136" t="n">
        <f aca="false">AJ28/$AI$2</f>
        <v>0</v>
      </c>
      <c r="AJ28" s="134" t="n">
        <f aca="false">SUM(T28:AC28)</f>
        <v>0</v>
      </c>
    </row>
    <row r="29" customFormat="false" ht="15" hidden="false" customHeight="false" outlineLevel="0" collapsed="false">
      <c r="A29" s="137" t="n">
        <v>10</v>
      </c>
      <c r="B29" s="138" t="s">
        <v>341</v>
      </c>
      <c r="C29" s="230" t="s">
        <v>263</v>
      </c>
      <c r="D29" s="140" t="n">
        <f aca="false">VLOOKUP(C29,'[1]PREÇO ATUAL'!$A$1:$D$1048576,4,0)</f>
        <v>98.4735649675258</v>
      </c>
      <c r="E29" s="141" t="n">
        <v>6.6</v>
      </c>
      <c r="F29" s="141" t="n">
        <v>6.6</v>
      </c>
      <c r="G29" s="141" t="n">
        <v>6.6</v>
      </c>
      <c r="H29" s="141" t="n">
        <v>6.6</v>
      </c>
      <c r="I29" s="141" t="n">
        <v>6.6</v>
      </c>
      <c r="J29" s="141" t="n">
        <v>6.6</v>
      </c>
      <c r="K29" s="141" t="n">
        <v>6.6</v>
      </c>
      <c r="L29" s="141" t="n">
        <v>6.6</v>
      </c>
      <c r="M29" s="141" t="n">
        <v>6.6</v>
      </c>
      <c r="N29" s="141" t="n">
        <v>6.6</v>
      </c>
      <c r="O29" s="141"/>
      <c r="P29" s="141"/>
      <c r="Q29" s="141"/>
      <c r="R29" s="141"/>
      <c r="S29" s="141"/>
      <c r="T29" s="142" t="n">
        <f aca="false">$D$29*E29</f>
        <v>649.92552878567</v>
      </c>
      <c r="U29" s="142" t="n">
        <f aca="false">$D$29*F29</f>
        <v>649.92552878567</v>
      </c>
      <c r="V29" s="142" t="n">
        <f aca="false">$D$29*G29</f>
        <v>649.92552878567</v>
      </c>
      <c r="W29" s="142" t="n">
        <f aca="false">$D$29*H29</f>
        <v>649.92552878567</v>
      </c>
      <c r="X29" s="142" t="n">
        <f aca="false">$D$29*I29</f>
        <v>649.92552878567</v>
      </c>
      <c r="Y29" s="142" t="n">
        <f aca="false">$D$29*J29</f>
        <v>649.92552878567</v>
      </c>
      <c r="Z29" s="142" t="n">
        <f aca="false">$D$29*K29</f>
        <v>649.92552878567</v>
      </c>
      <c r="AA29" s="142" t="n">
        <f aca="false">$D$29*L29</f>
        <v>649.92552878567</v>
      </c>
      <c r="AB29" s="142" t="n">
        <f aca="false">$D$29*M29</f>
        <v>649.92552878567</v>
      </c>
      <c r="AC29" s="142" t="n">
        <f aca="false">$D$29*N29</f>
        <v>649.92552878567</v>
      </c>
      <c r="AD29" s="232"/>
      <c r="AE29" s="232"/>
      <c r="AF29" s="232"/>
      <c r="AG29" s="232"/>
      <c r="AH29" s="232"/>
      <c r="AI29" s="144" t="n">
        <f aca="false">AJ29/$AI$2</f>
        <v>0.263085139566738</v>
      </c>
      <c r="AJ29" s="142" t="n">
        <f aca="false">SUM(T29:AC29)</f>
        <v>6499.2552878567</v>
      </c>
    </row>
    <row r="30" customFormat="false" ht="15" hidden="false" customHeight="false" outlineLevel="0" collapsed="false">
      <c r="A30" s="125" t="n">
        <v>11</v>
      </c>
      <c r="B30" s="126" t="s">
        <v>313</v>
      </c>
      <c r="C30" s="227" t="s">
        <v>65</v>
      </c>
      <c r="D30" s="128" t="n">
        <f aca="false">VLOOKUP(C30,'[1]PREÇO ATUAL'!$A$1:$D$1048576,4,0)</f>
        <v>342</v>
      </c>
      <c r="E30" s="179" t="n">
        <v>2.95</v>
      </c>
      <c r="F30" s="179" t="n">
        <v>2.65</v>
      </c>
      <c r="G30" s="179" t="n">
        <v>2.65</v>
      </c>
      <c r="H30" s="179" t="n">
        <v>2.75</v>
      </c>
      <c r="I30" s="179" t="n">
        <v>3.25</v>
      </c>
      <c r="J30" s="179" t="n">
        <v>2.65</v>
      </c>
      <c r="K30" s="179" t="n">
        <v>2.65</v>
      </c>
      <c r="L30" s="179" t="n">
        <v>5.2</v>
      </c>
      <c r="M30" s="179" t="n">
        <v>2.95</v>
      </c>
      <c r="N30" s="179" t="n">
        <v>2.95</v>
      </c>
      <c r="O30" s="179"/>
      <c r="P30" s="179"/>
      <c r="Q30" s="179"/>
      <c r="R30" s="179"/>
      <c r="S30" s="179"/>
      <c r="T30" s="134" t="n">
        <f aca="false">$D$30*E30</f>
        <v>1008.9</v>
      </c>
      <c r="U30" s="134" t="n">
        <f aca="false">$D$30*F30</f>
        <v>906.3</v>
      </c>
      <c r="V30" s="134" t="n">
        <f aca="false">$D$30*G30</f>
        <v>906.3</v>
      </c>
      <c r="W30" s="134" t="n">
        <f aca="false">$D$30*H30</f>
        <v>940.5</v>
      </c>
      <c r="X30" s="134" t="n">
        <f aca="false">$D$30*I30</f>
        <v>1111.5</v>
      </c>
      <c r="Y30" s="134" t="n">
        <f aca="false">$D$30*J30</f>
        <v>906.3</v>
      </c>
      <c r="Z30" s="134" t="n">
        <f aca="false">$D$30*K30</f>
        <v>906.3</v>
      </c>
      <c r="AA30" s="134" t="n">
        <f aca="false">$D$30*L30</f>
        <v>1778.4</v>
      </c>
      <c r="AB30" s="134" t="n">
        <f aca="false">$D$30*M30</f>
        <v>1008.9</v>
      </c>
      <c r="AC30" s="134" t="n">
        <f aca="false">$D$30*N30</f>
        <v>1008.9</v>
      </c>
      <c r="AD30" s="229"/>
      <c r="AE30" s="229"/>
      <c r="AF30" s="229"/>
      <c r="AG30" s="229"/>
      <c r="AH30" s="229"/>
      <c r="AI30" s="136" t="n">
        <f aca="false">AJ30/$AI$2</f>
        <v>0.424315900259067</v>
      </c>
      <c r="AJ30" s="134" t="n">
        <f aca="false">SUM(T30:AC30)</f>
        <v>10482.3</v>
      </c>
    </row>
    <row r="31" customFormat="false" ht="15" hidden="false" customHeight="false" outlineLevel="0" collapsed="false">
      <c r="A31" s="137" t="n">
        <v>12</v>
      </c>
      <c r="B31" s="180" t="s">
        <v>343</v>
      </c>
      <c r="C31" s="230" t="s">
        <v>344</v>
      </c>
      <c r="D31" s="140" t="n">
        <f aca="false">VLOOKUP(C31,'[1]PREÇO ATUAL'!$A$1:$D$1048576,4,0)</f>
        <v>92.592</v>
      </c>
      <c r="E31" s="141"/>
      <c r="F31" s="141"/>
      <c r="G31" s="141"/>
      <c r="H31" s="141"/>
      <c r="I31" s="141"/>
      <c r="J31" s="141"/>
      <c r="K31" s="141"/>
      <c r="L31" s="141" t="n">
        <v>7</v>
      </c>
      <c r="M31" s="141"/>
      <c r="N31" s="141"/>
      <c r="O31" s="141"/>
      <c r="P31" s="141"/>
      <c r="Q31" s="141"/>
      <c r="R31" s="141"/>
      <c r="S31" s="141"/>
      <c r="T31" s="142" t="n">
        <f aca="false">$D$31*E31</f>
        <v>0</v>
      </c>
      <c r="U31" s="142" t="n">
        <f aca="false">$D$31*F31</f>
        <v>0</v>
      </c>
      <c r="V31" s="142" t="n">
        <f aca="false">$D$31*G31</f>
        <v>0</v>
      </c>
      <c r="W31" s="142" t="n">
        <f aca="false">$D$31*H31</f>
        <v>0</v>
      </c>
      <c r="X31" s="142" t="n">
        <f aca="false">$D$31*I31</f>
        <v>0</v>
      </c>
      <c r="Y31" s="142" t="n">
        <f aca="false">$D$31*J31</f>
        <v>0</v>
      </c>
      <c r="Z31" s="142" t="n">
        <f aca="false">$D$31*K31</f>
        <v>0</v>
      </c>
      <c r="AA31" s="142" t="n">
        <f aca="false">$D$31*L31</f>
        <v>648.144</v>
      </c>
      <c r="AB31" s="142" t="n">
        <f aca="false">$D$31*M31</f>
        <v>0</v>
      </c>
      <c r="AC31" s="142" t="n">
        <f aca="false">$D$31*N31</f>
        <v>0</v>
      </c>
      <c r="AD31" s="232"/>
      <c r="AE31" s="232"/>
      <c r="AF31" s="232"/>
      <c r="AG31" s="232"/>
      <c r="AH31" s="232"/>
      <c r="AI31" s="144" t="n">
        <f aca="false">AJ31/$AI$2</f>
        <v>0.0262363989637306</v>
      </c>
      <c r="AJ31" s="142" t="n">
        <f aca="false">SUM(T31:AC31)</f>
        <v>648.144</v>
      </c>
    </row>
    <row r="32" customFormat="false" ht="15.75" hidden="false" customHeight="true" outlineLevel="0" collapsed="false">
      <c r="H32" s="71"/>
      <c r="L32" s="71"/>
    </row>
    <row r="33" customFormat="false" ht="15.75" hidden="false" customHeight="true" outlineLevel="0" collapsed="false">
      <c r="A33" s="89" t="s">
        <v>345</v>
      </c>
      <c r="B33" s="89"/>
      <c r="C33" s="89"/>
      <c r="D33" s="89"/>
      <c r="E33" s="35" t="s">
        <v>29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6" t="s">
        <v>30</v>
      </c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78" t="s">
        <v>31</v>
      </c>
      <c r="AJ33" s="78"/>
    </row>
    <row r="34" customFormat="false" ht="15.75" hidden="false" customHeight="true" outlineLevel="0" collapsed="false">
      <c r="A34" s="89"/>
      <c r="B34" s="89"/>
      <c r="C34" s="89"/>
      <c r="D34" s="89"/>
      <c r="E34" s="189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43" t="n">
        <f aca="false">MROUND(SUM(T36:T46),1)</f>
        <v>1764</v>
      </c>
      <c r="U34" s="43" t="n">
        <f aca="false">MROUND(SUM(U36:U46),1)</f>
        <v>1664</v>
      </c>
      <c r="V34" s="43" t="n">
        <f aca="false">MROUND(SUM(V36:V46),1)</f>
        <v>1434</v>
      </c>
      <c r="W34" s="43" t="n">
        <f aca="false">MROUND(SUM(W36:W46),1)</f>
        <v>1783</v>
      </c>
      <c r="X34" s="43" t="n">
        <f aca="false">MROUND(SUM(X36:X46),1)</f>
        <v>1451</v>
      </c>
      <c r="Y34" s="43" t="n">
        <f aca="false">MROUND(SUM(Y36:Y46),1)</f>
        <v>2385</v>
      </c>
      <c r="Z34" s="43" t="n">
        <f aca="false">MROUND(SUM(Z36:Z46),1)</f>
        <v>1434</v>
      </c>
      <c r="AA34" s="43" t="n">
        <f aca="false">MROUND(SUM(AA36:AA46),1)</f>
        <v>1783</v>
      </c>
      <c r="AB34" s="43" t="n">
        <f aca="false">MROUND(SUM(AB36:AB46),1)</f>
        <v>1434</v>
      </c>
      <c r="AC34" s="43" t="n">
        <f aca="false">MROUND(SUM(AC36:AC46),1)</f>
        <v>1664</v>
      </c>
      <c r="AD34" s="43" t="n">
        <f aca="false">MROUND(SUM(AD36:AD46),1)</f>
        <v>1451</v>
      </c>
      <c r="AE34" s="43" t="n">
        <f aca="false">MROUND(SUM(AE36:AE46),1)</f>
        <v>3814</v>
      </c>
      <c r="AF34" s="43" t="n">
        <f aca="false">MROUND(SUM(AF36:AF46),1)</f>
        <v>1536</v>
      </c>
      <c r="AG34" s="43" t="n">
        <f aca="false">MROUND(SUM(AG36:AG46),1)</f>
        <v>1664</v>
      </c>
      <c r="AH34" s="43" t="n">
        <f aca="false">MROUND(SUM(AH36:AH46),1)</f>
        <v>1536</v>
      </c>
      <c r="AI34" s="44" t="n">
        <f aca="false">SUM(T34:AH34)</f>
        <v>26797</v>
      </c>
      <c r="AJ34" s="44"/>
    </row>
    <row r="35" customFormat="false" ht="15.75" hidden="false" customHeight="true" outlineLevel="0" collapsed="false">
      <c r="A35" s="45" t="s">
        <v>32</v>
      </c>
      <c r="B35" s="45" t="s">
        <v>33</v>
      </c>
      <c r="C35" s="45" t="s">
        <v>34</v>
      </c>
      <c r="D35" s="47" t="s">
        <v>35</v>
      </c>
      <c r="E35" s="48" t="s">
        <v>36</v>
      </c>
      <c r="F35" s="48" t="s">
        <v>37</v>
      </c>
      <c r="G35" s="48" t="s">
        <v>38</v>
      </c>
      <c r="H35" s="48" t="s">
        <v>39</v>
      </c>
      <c r="I35" s="48" t="s">
        <v>40</v>
      </c>
      <c r="J35" s="48" t="s">
        <v>41</v>
      </c>
      <c r="K35" s="48" t="s">
        <v>42</v>
      </c>
      <c r="L35" s="48" t="s">
        <v>43</v>
      </c>
      <c r="M35" s="188" t="s">
        <v>44</v>
      </c>
      <c r="N35" s="48" t="s">
        <v>45</v>
      </c>
      <c r="O35" s="50" t="s">
        <v>276</v>
      </c>
      <c r="P35" s="48" t="s">
        <v>277</v>
      </c>
      <c r="Q35" s="48" t="s">
        <v>278</v>
      </c>
      <c r="R35" s="48" t="s">
        <v>279</v>
      </c>
      <c r="S35" s="48" t="s">
        <v>280</v>
      </c>
      <c r="T35" s="48" t="n">
        <v>10000</v>
      </c>
      <c r="U35" s="48" t="n">
        <v>20000</v>
      </c>
      <c r="V35" s="48" t="n">
        <v>30000</v>
      </c>
      <c r="W35" s="48" t="n">
        <v>40000</v>
      </c>
      <c r="X35" s="48" t="n">
        <v>50000</v>
      </c>
      <c r="Y35" s="48" t="n">
        <v>60000</v>
      </c>
      <c r="Z35" s="48" t="n">
        <v>70000</v>
      </c>
      <c r="AA35" s="48" t="n">
        <v>80000</v>
      </c>
      <c r="AB35" s="48" t="n">
        <v>90000</v>
      </c>
      <c r="AC35" s="48" t="n">
        <v>100000</v>
      </c>
      <c r="AD35" s="50" t="n">
        <f aca="false">AC35+10000</f>
        <v>110000</v>
      </c>
      <c r="AE35" s="50" t="n">
        <f aca="false">AD35+10000</f>
        <v>120000</v>
      </c>
      <c r="AF35" s="50" t="n">
        <f aca="false">AE35+10000</f>
        <v>130000</v>
      </c>
      <c r="AG35" s="50" t="n">
        <f aca="false">AF35+10000</f>
        <v>140000</v>
      </c>
      <c r="AH35" s="50" t="n">
        <f aca="false">AG35+10000</f>
        <v>150000</v>
      </c>
      <c r="AI35" s="51" t="s">
        <v>46</v>
      </c>
      <c r="AJ35" s="45" t="s">
        <v>47</v>
      </c>
    </row>
    <row r="36" customFormat="false" ht="15.75" hidden="false" customHeight="true" outlineLevel="0" collapsed="false">
      <c r="A36" s="52" t="n">
        <v>1</v>
      </c>
      <c r="B36" s="53" t="s">
        <v>235</v>
      </c>
      <c r="C36" s="54" t="s">
        <v>226</v>
      </c>
      <c r="D36" s="55" t="n">
        <f aca="false">VLOOKUP(C36,'[1]PREÇO ATUAL'!$A$1:$D$1048576,4,0)</f>
        <v>110.2</v>
      </c>
      <c r="E36" s="56" t="n">
        <v>1</v>
      </c>
      <c r="F36" s="56" t="n">
        <v>1</v>
      </c>
      <c r="G36" s="56" t="n">
        <v>1</v>
      </c>
      <c r="H36" s="56" t="n">
        <v>1</v>
      </c>
      <c r="I36" s="56" t="n">
        <v>1</v>
      </c>
      <c r="J36" s="56" t="n">
        <v>1</v>
      </c>
      <c r="K36" s="56" t="n">
        <v>1</v>
      </c>
      <c r="L36" s="56" t="n">
        <v>1</v>
      </c>
      <c r="M36" s="57" t="n">
        <v>1</v>
      </c>
      <c r="N36" s="56" t="n">
        <v>1</v>
      </c>
      <c r="O36" s="56" t="n">
        <v>1</v>
      </c>
      <c r="P36" s="56" t="n">
        <v>1</v>
      </c>
      <c r="Q36" s="56" t="n">
        <v>1</v>
      </c>
      <c r="R36" s="56" t="n">
        <v>1</v>
      </c>
      <c r="S36" s="56" t="n">
        <v>1</v>
      </c>
      <c r="T36" s="58" t="n">
        <f aca="false">$D36*E36</f>
        <v>110.2</v>
      </c>
      <c r="U36" s="58" t="n">
        <f aca="false">$D36*F36</f>
        <v>110.2</v>
      </c>
      <c r="V36" s="58" t="n">
        <f aca="false">$D36*G36</f>
        <v>110.2</v>
      </c>
      <c r="W36" s="58" t="n">
        <f aca="false">$D36*H36</f>
        <v>110.2</v>
      </c>
      <c r="X36" s="58" t="n">
        <f aca="false">$D36*I36</f>
        <v>110.2</v>
      </c>
      <c r="Y36" s="58" t="n">
        <f aca="false">$D36*J36</f>
        <v>110.2</v>
      </c>
      <c r="Z36" s="58" t="n">
        <f aca="false">$D36*K36</f>
        <v>110.2</v>
      </c>
      <c r="AA36" s="58" t="n">
        <f aca="false">$D36*L36</f>
        <v>110.2</v>
      </c>
      <c r="AB36" s="58" t="n">
        <f aca="false">$D36*M36</f>
        <v>110.2</v>
      </c>
      <c r="AC36" s="58" t="n">
        <f aca="false">$D36*N36</f>
        <v>110.2</v>
      </c>
      <c r="AD36" s="58" t="n">
        <f aca="false">$D36*O36</f>
        <v>110.2</v>
      </c>
      <c r="AE36" s="58" t="n">
        <f aca="false">$D36*P36</f>
        <v>110.2</v>
      </c>
      <c r="AF36" s="58" t="n">
        <f aca="false">$D36*Q36</f>
        <v>110.2</v>
      </c>
      <c r="AG36" s="58" t="n">
        <f aca="false">$D36*R36</f>
        <v>110.2</v>
      </c>
      <c r="AH36" s="58" t="n">
        <f aca="false">$D36*S36</f>
        <v>110.2</v>
      </c>
      <c r="AI36" s="94" t="n">
        <f aca="false">AJ36/$AI$2</f>
        <v>0.0669122409326425</v>
      </c>
      <c r="AJ36" s="58" t="n">
        <f aca="false">SUM(T36:AH36)</f>
        <v>1653</v>
      </c>
    </row>
    <row r="37" customFormat="false" ht="15.75" hidden="false" customHeight="true" outlineLevel="0" collapsed="false">
      <c r="A37" s="60" t="n">
        <v>2</v>
      </c>
      <c r="B37" s="61" t="s">
        <v>236</v>
      </c>
      <c r="C37" s="62" t="s">
        <v>218</v>
      </c>
      <c r="D37" s="63" t="n">
        <f aca="false">VLOOKUP(C37,'[1]PREÇO ATUAL'!$A$1:$D$1048576,4,0)</f>
        <v>379</v>
      </c>
      <c r="E37" s="64" t="n">
        <v>1</v>
      </c>
      <c r="F37" s="64" t="n">
        <v>1</v>
      </c>
      <c r="G37" s="64" t="n">
        <v>1</v>
      </c>
      <c r="H37" s="64" t="n">
        <v>1</v>
      </c>
      <c r="I37" s="64" t="n">
        <v>1</v>
      </c>
      <c r="J37" s="64" t="n">
        <v>1</v>
      </c>
      <c r="K37" s="64" t="n">
        <v>1</v>
      </c>
      <c r="L37" s="64" t="n">
        <v>1</v>
      </c>
      <c r="M37" s="65" t="n">
        <v>1</v>
      </c>
      <c r="N37" s="64" t="n">
        <v>1</v>
      </c>
      <c r="O37" s="64" t="n">
        <v>1</v>
      </c>
      <c r="P37" s="64" t="n">
        <v>1</v>
      </c>
      <c r="Q37" s="64" t="n">
        <v>1</v>
      </c>
      <c r="R37" s="64" t="n">
        <v>1</v>
      </c>
      <c r="S37" s="64" t="n">
        <v>1</v>
      </c>
      <c r="T37" s="66" t="n">
        <f aca="false">$D37*E37</f>
        <v>379</v>
      </c>
      <c r="U37" s="66" t="n">
        <f aca="false">$D37*F37</f>
        <v>379</v>
      </c>
      <c r="V37" s="66" t="n">
        <f aca="false">$D37*G37</f>
        <v>379</v>
      </c>
      <c r="W37" s="66" t="n">
        <f aca="false">$D37*H37</f>
        <v>379</v>
      </c>
      <c r="X37" s="66" t="n">
        <f aca="false">$D37*I37</f>
        <v>379</v>
      </c>
      <c r="Y37" s="66" t="n">
        <f aca="false">$D37*J37</f>
        <v>379</v>
      </c>
      <c r="Z37" s="66" t="n">
        <f aca="false">$D37*K37</f>
        <v>379</v>
      </c>
      <c r="AA37" s="66" t="n">
        <f aca="false">$D37*L37</f>
        <v>379</v>
      </c>
      <c r="AB37" s="66" t="n">
        <f aca="false">$D37*M37</f>
        <v>379</v>
      </c>
      <c r="AC37" s="66" t="n">
        <f aca="false">$D37*N37</f>
        <v>379</v>
      </c>
      <c r="AD37" s="66" t="n">
        <f aca="false">$D37*O37</f>
        <v>379</v>
      </c>
      <c r="AE37" s="66" t="n">
        <f aca="false">$D37*P37</f>
        <v>379</v>
      </c>
      <c r="AF37" s="66" t="n">
        <f aca="false">$D37*Q37</f>
        <v>379</v>
      </c>
      <c r="AG37" s="66" t="n">
        <f aca="false">$D37*R37</f>
        <v>379</v>
      </c>
      <c r="AH37" s="66" t="n">
        <f aca="false">$D37*S37</f>
        <v>379</v>
      </c>
      <c r="AI37" s="95" t="n">
        <f aca="false">AJ37/$AI$2</f>
        <v>0.230124676165803</v>
      </c>
      <c r="AJ37" s="66" t="n">
        <f aca="false">SUM(T37:AH37)</f>
        <v>5685</v>
      </c>
    </row>
    <row r="38" customFormat="false" ht="15.75" hidden="false" customHeight="true" outlineLevel="0" collapsed="false">
      <c r="A38" s="52" t="n">
        <v>3</v>
      </c>
      <c r="B38" s="53" t="s">
        <v>281</v>
      </c>
      <c r="C38" s="54" t="s">
        <v>346</v>
      </c>
      <c r="D38" s="55" t="n">
        <f aca="false">VLOOKUP(C38,'[1]PREÇO ATUAL'!$A$1:$D$1048576,4,0)</f>
        <v>212.95</v>
      </c>
      <c r="E38" s="56"/>
      <c r="F38" s="56" t="n">
        <v>1</v>
      </c>
      <c r="G38" s="56"/>
      <c r="H38" s="56" t="n">
        <v>1</v>
      </c>
      <c r="I38" s="56"/>
      <c r="J38" s="56" t="n">
        <v>1</v>
      </c>
      <c r="K38" s="56"/>
      <c r="L38" s="56" t="n">
        <v>1</v>
      </c>
      <c r="M38" s="57"/>
      <c r="N38" s="56" t="n">
        <v>1</v>
      </c>
      <c r="O38" s="204"/>
      <c r="P38" s="56" t="n">
        <v>1</v>
      </c>
      <c r="Q38" s="56"/>
      <c r="R38" s="56" t="n">
        <v>1</v>
      </c>
      <c r="S38" s="56"/>
      <c r="T38" s="58" t="n">
        <f aca="false">$D38*E38</f>
        <v>0</v>
      </c>
      <c r="U38" s="58" t="n">
        <f aca="false">$D38*F38</f>
        <v>212.95</v>
      </c>
      <c r="V38" s="58" t="n">
        <f aca="false">$D38*G38</f>
        <v>0</v>
      </c>
      <c r="W38" s="58" t="n">
        <f aca="false">$D38*H38</f>
        <v>212.95</v>
      </c>
      <c r="X38" s="58" t="n">
        <f aca="false">$D38*I38</f>
        <v>0</v>
      </c>
      <c r="Y38" s="58" t="n">
        <f aca="false">$D38*J38</f>
        <v>212.95</v>
      </c>
      <c r="Z38" s="58" t="n">
        <f aca="false">$D38*K38</f>
        <v>0</v>
      </c>
      <c r="AA38" s="58" t="n">
        <f aca="false">$D38*L38</f>
        <v>212.95</v>
      </c>
      <c r="AB38" s="58" t="n">
        <f aca="false">$D38*M38</f>
        <v>0</v>
      </c>
      <c r="AC38" s="58" t="n">
        <f aca="false">$D38*N38</f>
        <v>212.95</v>
      </c>
      <c r="AD38" s="58" t="n">
        <f aca="false">$D38*O38</f>
        <v>0</v>
      </c>
      <c r="AE38" s="58" t="n">
        <f aca="false">$D38*P38</f>
        <v>212.95</v>
      </c>
      <c r="AF38" s="58" t="n">
        <f aca="false">$D38*Q38</f>
        <v>0</v>
      </c>
      <c r="AG38" s="58" t="n">
        <f aca="false">$D38*R38</f>
        <v>212.95</v>
      </c>
      <c r="AH38" s="58" t="n">
        <f aca="false">$D38*S38</f>
        <v>0</v>
      </c>
      <c r="AI38" s="94" t="n">
        <f aca="false">AJ38/$AI$2</f>
        <v>0.0603404306994819</v>
      </c>
      <c r="AJ38" s="58" t="n">
        <f aca="false">SUM(T38:AH38)</f>
        <v>1490.65</v>
      </c>
    </row>
    <row r="39" customFormat="false" ht="15" hidden="false" customHeight="false" outlineLevel="0" collapsed="false">
      <c r="A39" s="137" t="n">
        <v>4</v>
      </c>
      <c r="B39" s="180" t="s">
        <v>154</v>
      </c>
      <c r="C39" s="139" t="s">
        <v>347</v>
      </c>
      <c r="D39" s="140" t="n">
        <f aca="false">VLOOKUP(C39,'[1]PREÇO ATUAL'!$A$1:$D$1048576,4,0)</f>
        <v>283.39</v>
      </c>
      <c r="E39" s="176"/>
      <c r="F39" s="176"/>
      <c r="G39" s="176"/>
      <c r="H39" s="176"/>
      <c r="I39" s="177"/>
      <c r="J39" s="177" t="n">
        <v>1</v>
      </c>
      <c r="K39" s="177"/>
      <c r="L39" s="177"/>
      <c r="M39" s="177"/>
      <c r="N39" s="176"/>
      <c r="O39" s="233"/>
      <c r="P39" s="177" t="n">
        <v>1</v>
      </c>
      <c r="Q39" s="177"/>
      <c r="R39" s="177"/>
      <c r="S39" s="177"/>
      <c r="T39" s="142" t="n">
        <f aca="false">$D39*E39</f>
        <v>0</v>
      </c>
      <c r="U39" s="142" t="n">
        <f aca="false">$D39*F39</f>
        <v>0</v>
      </c>
      <c r="V39" s="142" t="n">
        <f aca="false">$D39*G39</f>
        <v>0</v>
      </c>
      <c r="W39" s="142" t="n">
        <f aca="false">$D39*H39</f>
        <v>0</v>
      </c>
      <c r="X39" s="142" t="n">
        <f aca="false">$D39*I39</f>
        <v>0</v>
      </c>
      <c r="Y39" s="142" t="n">
        <f aca="false">$D39*J39</f>
        <v>283.39</v>
      </c>
      <c r="Z39" s="142" t="n">
        <f aca="false">$D39*K39</f>
        <v>0</v>
      </c>
      <c r="AA39" s="142" t="n">
        <f aca="false">$D39*L39</f>
        <v>0</v>
      </c>
      <c r="AB39" s="142" t="n">
        <f aca="false">$D39*M39</f>
        <v>0</v>
      </c>
      <c r="AC39" s="142" t="n">
        <f aca="false">$D39*N39</f>
        <v>0</v>
      </c>
      <c r="AD39" s="142" t="n">
        <f aca="false">$D39*O39</f>
        <v>0</v>
      </c>
      <c r="AE39" s="142" t="n">
        <f aca="false">$D39*P39</f>
        <v>283.39</v>
      </c>
      <c r="AF39" s="142" t="n">
        <f aca="false">$D39*Q39</f>
        <v>0</v>
      </c>
      <c r="AG39" s="142" t="n">
        <f aca="false">$D39*R39</f>
        <v>0</v>
      </c>
      <c r="AH39" s="142" t="n">
        <f aca="false">$D39*S39</f>
        <v>0</v>
      </c>
      <c r="AI39" s="144" t="n">
        <f aca="false">AJ39/$AI$2</f>
        <v>0.0229428432642487</v>
      </c>
      <c r="AJ39" s="142" t="n">
        <f aca="false">SUM(T39:AH39)</f>
        <v>566.78</v>
      </c>
    </row>
    <row r="40" customFormat="false" ht="23.25" hidden="false" customHeight="false" outlineLevel="0" collapsed="false">
      <c r="A40" s="52" t="n">
        <v>5</v>
      </c>
      <c r="B40" s="72" t="s">
        <v>348</v>
      </c>
      <c r="C40" s="54" t="s">
        <v>232</v>
      </c>
      <c r="D40" s="55" t="n">
        <f aca="false">VLOOKUP(C40,'[1]PREÇO ATUAL'!$A$1:$D$1048576,4,0)</f>
        <v>567.55</v>
      </c>
      <c r="E40" s="56"/>
      <c r="F40" s="56"/>
      <c r="G40" s="56"/>
      <c r="H40" s="56"/>
      <c r="I40" s="56"/>
      <c r="J40" s="56"/>
      <c r="K40" s="56"/>
      <c r="L40" s="56"/>
      <c r="M40" s="57"/>
      <c r="N40" s="56"/>
      <c r="O40" s="204"/>
      <c r="P40" s="56" t="n">
        <v>1</v>
      </c>
      <c r="Q40" s="56"/>
      <c r="R40" s="56"/>
      <c r="S40" s="56"/>
      <c r="T40" s="58" t="n">
        <f aca="false">$D40*E40</f>
        <v>0</v>
      </c>
      <c r="U40" s="58" t="n">
        <f aca="false">$D40*F40</f>
        <v>0</v>
      </c>
      <c r="V40" s="58" t="n">
        <f aca="false">$D40*G40</f>
        <v>0</v>
      </c>
      <c r="W40" s="58" t="n">
        <f aca="false">$D40*H40</f>
        <v>0</v>
      </c>
      <c r="X40" s="58" t="n">
        <f aca="false">$D40*I40</f>
        <v>0</v>
      </c>
      <c r="Y40" s="58" t="n">
        <f aca="false">$D40*J40</f>
        <v>0</v>
      </c>
      <c r="Z40" s="58" t="n">
        <f aca="false">$D40*K40</f>
        <v>0</v>
      </c>
      <c r="AA40" s="58" t="n">
        <f aca="false">$D40*L40</f>
        <v>0</v>
      </c>
      <c r="AB40" s="58" t="n">
        <f aca="false">$D40*M40</f>
        <v>0</v>
      </c>
      <c r="AC40" s="58" t="n">
        <f aca="false">$D40*N40</f>
        <v>0</v>
      </c>
      <c r="AD40" s="58" t="n">
        <f aca="false">$D40*O40</f>
        <v>0</v>
      </c>
      <c r="AE40" s="58" t="n">
        <f aca="false">$D40*P40</f>
        <v>567.55</v>
      </c>
      <c r="AF40" s="58" t="n">
        <f aca="false">$D40*Q40</f>
        <v>0</v>
      </c>
      <c r="AG40" s="58" t="n">
        <f aca="false">$D40*R40</f>
        <v>0</v>
      </c>
      <c r="AH40" s="58" t="n">
        <f aca="false">$D40*S40</f>
        <v>0</v>
      </c>
      <c r="AI40" s="94" t="n">
        <f aca="false">AJ40/$AI$2</f>
        <v>0.0229740123056995</v>
      </c>
      <c r="AJ40" s="58" t="n">
        <f aca="false">SUM(T40:AH40)</f>
        <v>567.55</v>
      </c>
    </row>
    <row r="41" customFormat="false" ht="33.75" hidden="false" customHeight="false" outlineLevel="0" collapsed="false">
      <c r="A41" s="137" t="n">
        <v>6</v>
      </c>
      <c r="B41" s="180" t="s">
        <v>349</v>
      </c>
      <c r="C41" s="139" t="s">
        <v>350</v>
      </c>
      <c r="D41" s="140" t="n">
        <f aca="false">VLOOKUP(C41,'[1]PREÇO ATUAL'!$A$1:$D$1048576,4,0)</f>
        <v>103.451073876523</v>
      </c>
      <c r="E41" s="182" t="n">
        <v>2.2</v>
      </c>
      <c r="F41" s="176"/>
      <c r="G41" s="176"/>
      <c r="H41" s="176"/>
      <c r="I41" s="177"/>
      <c r="J41" s="177"/>
      <c r="K41" s="177"/>
      <c r="L41" s="177"/>
      <c r="M41" s="177"/>
      <c r="N41" s="176"/>
      <c r="O41" s="233"/>
      <c r="P41" s="177"/>
      <c r="Q41" s="177"/>
      <c r="R41" s="177"/>
      <c r="S41" s="177"/>
      <c r="T41" s="142" t="n">
        <f aca="false">$D41*E41</f>
        <v>227.592362528351</v>
      </c>
      <c r="U41" s="142" t="n">
        <f aca="false">$D41*F41</f>
        <v>0</v>
      </c>
      <c r="V41" s="142" t="n">
        <f aca="false">$D41*G41</f>
        <v>0</v>
      </c>
      <c r="W41" s="142" t="n">
        <f aca="false">$D41*H41</f>
        <v>0</v>
      </c>
      <c r="X41" s="142" t="n">
        <f aca="false">$D41*I41</f>
        <v>0</v>
      </c>
      <c r="Y41" s="142" t="n">
        <f aca="false">$D41*J41</f>
        <v>0</v>
      </c>
      <c r="Z41" s="142" t="n">
        <f aca="false">$D41*K41</f>
        <v>0</v>
      </c>
      <c r="AA41" s="142" t="n">
        <f aca="false">$D41*L41</f>
        <v>0</v>
      </c>
      <c r="AB41" s="142" t="n">
        <f aca="false">$D41*M41</f>
        <v>0</v>
      </c>
      <c r="AC41" s="142" t="n">
        <f aca="false">$D41*N41</f>
        <v>0</v>
      </c>
      <c r="AD41" s="142" t="n">
        <f aca="false">$D41*O41</f>
        <v>0</v>
      </c>
      <c r="AE41" s="142" t="n">
        <f aca="false">$D41*P41</f>
        <v>0</v>
      </c>
      <c r="AF41" s="142" t="n">
        <f aca="false">$D41*Q41</f>
        <v>0</v>
      </c>
      <c r="AG41" s="142" t="n">
        <f aca="false">$D41*R41</f>
        <v>0</v>
      </c>
      <c r="AH41" s="142" t="n">
        <f aca="false">$D41*S41</f>
        <v>0</v>
      </c>
      <c r="AI41" s="144" t="n">
        <f aca="false">AJ41/$AI$2</f>
        <v>0.00921277374224218</v>
      </c>
      <c r="AJ41" s="142" t="n">
        <f aca="false">SUM(T41:AH41)</f>
        <v>227.592362528351</v>
      </c>
    </row>
    <row r="42" customFormat="false" ht="15.75" hidden="false" customHeight="true" outlineLevel="0" collapsed="false">
      <c r="A42" s="52" t="n">
        <v>7</v>
      </c>
      <c r="B42" s="53" t="s">
        <v>351</v>
      </c>
      <c r="C42" s="54" t="s">
        <v>352</v>
      </c>
      <c r="D42" s="55" t="n">
        <f aca="false">VLOOKUP(C42,'[1]PREÇO ATUAL'!$A$1:$D$1048576,4,0)</f>
        <v>165.76</v>
      </c>
      <c r="E42" s="84"/>
      <c r="F42" s="84"/>
      <c r="G42" s="84"/>
      <c r="H42" s="84"/>
      <c r="I42" s="84"/>
      <c r="J42" s="84" t="n">
        <v>2.5</v>
      </c>
      <c r="K42" s="84"/>
      <c r="L42" s="84"/>
      <c r="M42" s="85"/>
      <c r="N42" s="84"/>
      <c r="O42" s="234"/>
      <c r="P42" s="84"/>
      <c r="Q42" s="84"/>
      <c r="R42" s="84"/>
      <c r="S42" s="84"/>
      <c r="T42" s="58" t="n">
        <f aca="false">$D42*E42</f>
        <v>0</v>
      </c>
      <c r="U42" s="58" t="n">
        <f aca="false">$D42*F42</f>
        <v>0</v>
      </c>
      <c r="V42" s="58" t="n">
        <f aca="false">$D42*G42</f>
        <v>0</v>
      </c>
      <c r="W42" s="58" t="n">
        <f aca="false">$D42*H42</f>
        <v>0</v>
      </c>
      <c r="X42" s="58" t="n">
        <f aca="false">$D42*I42</f>
        <v>0</v>
      </c>
      <c r="Y42" s="58" t="n">
        <f aca="false">$D42*J42</f>
        <v>414.4</v>
      </c>
      <c r="Z42" s="58" t="n">
        <f aca="false">$D42*K42</f>
        <v>0</v>
      </c>
      <c r="AA42" s="58" t="n">
        <f aca="false">$D42*L42</f>
        <v>0</v>
      </c>
      <c r="AB42" s="58" t="n">
        <f aca="false">$D42*M42</f>
        <v>0</v>
      </c>
      <c r="AC42" s="58" t="n">
        <f aca="false">$D42*N42</f>
        <v>0</v>
      </c>
      <c r="AD42" s="58" t="n">
        <f aca="false">$D42*O42</f>
        <v>0</v>
      </c>
      <c r="AE42" s="58" t="n">
        <f aca="false">$D42*P42</f>
        <v>0</v>
      </c>
      <c r="AF42" s="58" t="n">
        <f aca="false">$D42*Q42</f>
        <v>0</v>
      </c>
      <c r="AG42" s="58" t="n">
        <f aca="false">$D42*R42</f>
        <v>0</v>
      </c>
      <c r="AH42" s="58" t="n">
        <f aca="false">$D42*S42</f>
        <v>0</v>
      </c>
      <c r="AI42" s="94" t="n">
        <f aca="false">AJ42/$AI$2</f>
        <v>0.0167746113989637</v>
      </c>
      <c r="AJ42" s="58" t="n">
        <f aca="false">SUM(T42:AH42)</f>
        <v>414.4</v>
      </c>
    </row>
    <row r="43" customFormat="false" ht="23.25" hidden="false" customHeight="false" outlineLevel="0" collapsed="false">
      <c r="A43" s="137" t="n">
        <v>8</v>
      </c>
      <c r="B43" s="180" t="s">
        <v>353</v>
      </c>
      <c r="C43" s="139" t="s">
        <v>354</v>
      </c>
      <c r="D43" s="140" t="n">
        <f aca="false">VLOOKUP(C43,'[1]PREÇO ATUAL'!$A$1:$D$1048576,4,0)</f>
        <v>77.744</v>
      </c>
      <c r="E43" s="182"/>
      <c r="F43" s="182"/>
      <c r="G43" s="182"/>
      <c r="H43" s="182"/>
      <c r="I43" s="191"/>
      <c r="J43" s="191"/>
      <c r="K43" s="191"/>
      <c r="L43" s="191"/>
      <c r="M43" s="191"/>
      <c r="N43" s="182"/>
      <c r="O43" s="235"/>
      <c r="P43" s="191"/>
      <c r="Q43" s="191"/>
      <c r="R43" s="191"/>
      <c r="S43" s="191"/>
      <c r="T43" s="142" t="n">
        <f aca="false">$D43*E43</f>
        <v>0</v>
      </c>
      <c r="U43" s="142" t="n">
        <f aca="false">$D43*F43</f>
        <v>0</v>
      </c>
      <c r="V43" s="142" t="n">
        <f aca="false">$D43*G43</f>
        <v>0</v>
      </c>
      <c r="W43" s="142" t="n">
        <f aca="false">$D43*H43</f>
        <v>0</v>
      </c>
      <c r="X43" s="142" t="n">
        <f aca="false">$D43*I43</f>
        <v>0</v>
      </c>
      <c r="Y43" s="142" t="n">
        <f aca="false">$D43*J43</f>
        <v>0</v>
      </c>
      <c r="Z43" s="142" t="n">
        <f aca="false">$D43*K43</f>
        <v>0</v>
      </c>
      <c r="AA43" s="142" t="n">
        <f aca="false">$D43*L43</f>
        <v>0</v>
      </c>
      <c r="AB43" s="142" t="n">
        <f aca="false">$D43*M43</f>
        <v>0</v>
      </c>
      <c r="AC43" s="142" t="n">
        <f aca="false">$D43*N43</f>
        <v>0</v>
      </c>
      <c r="AD43" s="142" t="n">
        <f aca="false">$D43*O43</f>
        <v>0</v>
      </c>
      <c r="AE43" s="142" t="n">
        <f aca="false">$D43*P43</f>
        <v>0</v>
      </c>
      <c r="AF43" s="142" t="n">
        <f aca="false">$D43*Q43</f>
        <v>0</v>
      </c>
      <c r="AG43" s="142" t="n">
        <f aca="false">$D43*R43</f>
        <v>0</v>
      </c>
      <c r="AH43" s="142" t="n">
        <f aca="false">$D43*S43</f>
        <v>0</v>
      </c>
      <c r="AI43" s="144" t="n">
        <f aca="false">AJ43/$AI$2</f>
        <v>0</v>
      </c>
      <c r="AJ43" s="142" t="n">
        <f aca="false">SUM(T43:AH43)</f>
        <v>0</v>
      </c>
    </row>
    <row r="44" customFormat="false" ht="15.75" hidden="false" customHeight="true" outlineLevel="0" collapsed="false">
      <c r="A44" s="52" t="n">
        <v>9</v>
      </c>
      <c r="B44" s="53" t="s">
        <v>355</v>
      </c>
      <c r="C44" s="54" t="s">
        <v>286</v>
      </c>
      <c r="D44" s="55" t="n">
        <f aca="false">VLOOKUP(C44,'[1]PREÇO ATUAL'!$A$1:$D$1048576,4,0)</f>
        <v>580.293252</v>
      </c>
      <c r="E44" s="84"/>
      <c r="F44" s="84"/>
      <c r="G44" s="84"/>
      <c r="H44" s="84"/>
      <c r="I44" s="84"/>
      <c r="J44" s="84"/>
      <c r="K44" s="84"/>
      <c r="L44" s="84"/>
      <c r="M44" s="85"/>
      <c r="N44" s="84"/>
      <c r="O44" s="234"/>
      <c r="P44" s="84"/>
      <c r="Q44" s="84"/>
      <c r="R44" s="84"/>
      <c r="S44" s="84"/>
      <c r="T44" s="58" t="n">
        <f aca="false">$D44*E44</f>
        <v>0</v>
      </c>
      <c r="U44" s="58" t="n">
        <f aca="false">$D44*F44</f>
        <v>0</v>
      </c>
      <c r="V44" s="58" t="n">
        <f aca="false">$D44*G44</f>
        <v>0</v>
      </c>
      <c r="W44" s="58" t="n">
        <f aca="false">$D44*H44</f>
        <v>0</v>
      </c>
      <c r="X44" s="58" t="n">
        <f aca="false">$D44*I44</f>
        <v>0</v>
      </c>
      <c r="Y44" s="58" t="n">
        <f aca="false">$D44*J44</f>
        <v>0</v>
      </c>
      <c r="Z44" s="58" t="n">
        <f aca="false">$D44*K44</f>
        <v>0</v>
      </c>
      <c r="AA44" s="58" t="n">
        <f aca="false">$D44*L44</f>
        <v>0</v>
      </c>
      <c r="AB44" s="58" t="n">
        <f aca="false">$D44*M44</f>
        <v>0</v>
      </c>
      <c r="AC44" s="58" t="n">
        <f aca="false">$D44*N44</f>
        <v>0</v>
      </c>
      <c r="AD44" s="58" t="n">
        <f aca="false">$D44*O44</f>
        <v>0</v>
      </c>
      <c r="AE44" s="58" t="n">
        <f aca="false">$D44*P44</f>
        <v>0</v>
      </c>
      <c r="AF44" s="58" t="n">
        <f aca="false">$D44*Q44</f>
        <v>0</v>
      </c>
      <c r="AG44" s="58" t="n">
        <f aca="false">$D44*R44</f>
        <v>0</v>
      </c>
      <c r="AH44" s="58" t="n">
        <f aca="false">$D44*S44</f>
        <v>0</v>
      </c>
      <c r="AI44" s="94" t="n">
        <f aca="false">AJ44/$AI$2</f>
        <v>0</v>
      </c>
      <c r="AJ44" s="58" t="n">
        <f aca="false">SUM(T44:AH44)</f>
        <v>0</v>
      </c>
    </row>
    <row r="45" customFormat="false" ht="15" hidden="false" customHeight="false" outlineLevel="0" collapsed="false">
      <c r="A45" s="137" t="n">
        <v>10</v>
      </c>
      <c r="B45" s="180" t="s">
        <v>321</v>
      </c>
      <c r="C45" s="139" t="s">
        <v>223</v>
      </c>
      <c r="D45" s="140" t="n">
        <f aca="false">VLOOKUP(C45,'[1]PREÇO ATUAL'!$A$1:$D$1048576,4,0)</f>
        <v>91.54</v>
      </c>
      <c r="E45" s="182" t="n">
        <v>4.9</v>
      </c>
      <c r="F45" s="182" t="n">
        <v>4.9</v>
      </c>
      <c r="G45" s="182" t="n">
        <v>4.9</v>
      </c>
      <c r="H45" s="182" t="n">
        <v>4.9</v>
      </c>
      <c r="I45" s="191" t="n">
        <v>4.9</v>
      </c>
      <c r="J45" s="191" t="n">
        <v>4.9</v>
      </c>
      <c r="K45" s="191" t="n">
        <v>4.9</v>
      </c>
      <c r="L45" s="191" t="n">
        <v>4.9</v>
      </c>
      <c r="M45" s="191" t="n">
        <v>4.9</v>
      </c>
      <c r="N45" s="182" t="n">
        <v>4.9</v>
      </c>
      <c r="O45" s="235" t="n">
        <v>4.9</v>
      </c>
      <c r="P45" s="191" t="n">
        <v>4.9</v>
      </c>
      <c r="Q45" s="191" t="n">
        <v>4.9</v>
      </c>
      <c r="R45" s="191" t="n">
        <v>4.9</v>
      </c>
      <c r="S45" s="191" t="n">
        <v>4.9</v>
      </c>
      <c r="T45" s="142" t="n">
        <f aca="false">$D45*E45</f>
        <v>448.546</v>
      </c>
      <c r="U45" s="142" t="n">
        <f aca="false">$D45*F45</f>
        <v>448.546</v>
      </c>
      <c r="V45" s="142" t="n">
        <f aca="false">$D45*G45</f>
        <v>448.546</v>
      </c>
      <c r="W45" s="142" t="n">
        <f aca="false">$D45*H45</f>
        <v>448.546</v>
      </c>
      <c r="X45" s="142" t="n">
        <f aca="false">$D45*I45</f>
        <v>448.546</v>
      </c>
      <c r="Y45" s="142" t="n">
        <f aca="false">$D45*J45</f>
        <v>448.546</v>
      </c>
      <c r="Z45" s="142" t="n">
        <f aca="false">$D45*K45</f>
        <v>448.546</v>
      </c>
      <c r="AA45" s="142" t="n">
        <f aca="false">$D45*L45</f>
        <v>448.546</v>
      </c>
      <c r="AB45" s="142" t="n">
        <f aca="false">$D45*M45</f>
        <v>448.546</v>
      </c>
      <c r="AC45" s="142" t="n">
        <f aca="false">$D45*N45</f>
        <v>448.546</v>
      </c>
      <c r="AD45" s="142" t="n">
        <f aca="false">$D45*O45</f>
        <v>448.546</v>
      </c>
      <c r="AE45" s="142" t="n">
        <f aca="false">$D45*P45</f>
        <v>448.546</v>
      </c>
      <c r="AF45" s="142" t="n">
        <f aca="false">$D45*Q45</f>
        <v>448.546</v>
      </c>
      <c r="AG45" s="142" t="n">
        <f aca="false">$D45*R45</f>
        <v>448.546</v>
      </c>
      <c r="AH45" s="142" t="n">
        <f aca="false">$D45*S45</f>
        <v>448.546</v>
      </c>
      <c r="AI45" s="144" t="n">
        <f aca="false">AJ45/$AI$2</f>
        <v>0.272352250647668</v>
      </c>
      <c r="AJ45" s="142" t="n">
        <f aca="false">SUM(T45:AH45)</f>
        <v>6728.19</v>
      </c>
    </row>
    <row r="46" customFormat="false" ht="15.75" hidden="false" customHeight="true" outlineLevel="0" collapsed="false">
      <c r="A46" s="52" t="n">
        <v>11</v>
      </c>
      <c r="B46" s="53" t="s">
        <v>64</v>
      </c>
      <c r="C46" s="54" t="s">
        <v>65</v>
      </c>
      <c r="D46" s="55" t="n">
        <f aca="false">VLOOKUP(C46,'[1]PREÇO ATUAL'!$A$1:$D$1048576,4,0)</f>
        <v>342</v>
      </c>
      <c r="E46" s="84" t="n">
        <v>1.75</v>
      </c>
      <c r="F46" s="84" t="n">
        <v>1.5</v>
      </c>
      <c r="G46" s="84" t="n">
        <v>1.45</v>
      </c>
      <c r="H46" s="84" t="n">
        <v>1.85</v>
      </c>
      <c r="I46" s="84" t="n">
        <v>1.5</v>
      </c>
      <c r="J46" s="84" t="n">
        <v>1.57</v>
      </c>
      <c r="K46" s="84" t="n">
        <v>1.45</v>
      </c>
      <c r="L46" s="84" t="n">
        <v>1.85</v>
      </c>
      <c r="M46" s="85" t="n">
        <v>1.45</v>
      </c>
      <c r="N46" s="84" t="n">
        <v>1.5</v>
      </c>
      <c r="O46" s="234" t="n">
        <v>1.5</v>
      </c>
      <c r="P46" s="84" t="n">
        <v>5.3</v>
      </c>
      <c r="Q46" s="84" t="n">
        <v>1.75</v>
      </c>
      <c r="R46" s="84" t="n">
        <v>1.5</v>
      </c>
      <c r="S46" s="84" t="n">
        <v>1.75</v>
      </c>
      <c r="T46" s="58" t="n">
        <f aca="false">D46*E46</f>
        <v>598.5</v>
      </c>
      <c r="U46" s="58" t="n">
        <f aca="false">$D46*F46</f>
        <v>513</v>
      </c>
      <c r="V46" s="58" t="n">
        <f aca="false">$D46*G46</f>
        <v>495.9</v>
      </c>
      <c r="W46" s="58" t="n">
        <f aca="false">$D46*H46</f>
        <v>632.7</v>
      </c>
      <c r="X46" s="58" t="n">
        <f aca="false">$D46*I46</f>
        <v>513</v>
      </c>
      <c r="Y46" s="58" t="n">
        <f aca="false">$D46*J46</f>
        <v>536.94</v>
      </c>
      <c r="Z46" s="58" t="n">
        <f aca="false">$D46*K46</f>
        <v>495.9</v>
      </c>
      <c r="AA46" s="58" t="n">
        <f aca="false">$D46*L46</f>
        <v>632.7</v>
      </c>
      <c r="AB46" s="58" t="n">
        <f aca="false">$D46*M46</f>
        <v>495.9</v>
      </c>
      <c r="AC46" s="58" t="n">
        <f aca="false">$D46*N46</f>
        <v>513</v>
      </c>
      <c r="AD46" s="58" t="n">
        <f aca="false">$D46*O46</f>
        <v>513</v>
      </c>
      <c r="AE46" s="58" t="n">
        <f aca="false">$D46*P46</f>
        <v>1812.6</v>
      </c>
      <c r="AF46" s="58" t="n">
        <f aca="false">$D46*Q46</f>
        <v>598.5</v>
      </c>
      <c r="AG46" s="58" t="n">
        <f aca="false">$D46*R46</f>
        <v>513</v>
      </c>
      <c r="AH46" s="58" t="n">
        <f aca="false">$D46*S46</f>
        <v>598.5</v>
      </c>
      <c r="AI46" s="94" t="n">
        <f aca="false">AJ46/$AI$2</f>
        <v>0.383061042746114</v>
      </c>
      <c r="AJ46" s="58" t="n">
        <f aca="false">SUM(T46:AH46)</f>
        <v>9463.14</v>
      </c>
    </row>
    <row r="47" customFormat="false" ht="15.75" hidden="false" customHeight="true" outlineLevel="0" collapsed="false"/>
    <row r="48" customFormat="false" ht="15.75" hidden="false" customHeight="true" outlineLevel="0" collapsed="false">
      <c r="A48" s="89" t="s">
        <v>356</v>
      </c>
      <c r="B48" s="89"/>
      <c r="C48" s="89"/>
      <c r="D48" s="89"/>
      <c r="E48" s="35" t="s">
        <v>29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6" t="s">
        <v>30</v>
      </c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78" t="s">
        <v>31</v>
      </c>
      <c r="AJ48" s="78"/>
    </row>
    <row r="49" customFormat="false" ht="15.75" hidden="false" customHeight="true" outlineLevel="0" collapsed="false">
      <c r="A49" s="89"/>
      <c r="B49" s="89"/>
      <c r="C49" s="89"/>
      <c r="D49" s="89"/>
      <c r="E49" s="189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43" t="n">
        <f aca="false">MROUND(SUM(T51:T60),1)</f>
        <v>1764</v>
      </c>
      <c r="U49" s="43" t="n">
        <f aca="false">MROUND(SUM(U51:U60),1)</f>
        <v>1664</v>
      </c>
      <c r="V49" s="43" t="n">
        <f aca="false">MROUND(SUM(V51:V60),1)</f>
        <v>1434</v>
      </c>
      <c r="W49" s="43" t="n">
        <f aca="false">MROUND(SUM(W51:W60),1)</f>
        <v>1783</v>
      </c>
      <c r="X49" s="43" t="n">
        <f aca="false">MROUND(SUM(X51:X60),1)</f>
        <v>1451</v>
      </c>
      <c r="Y49" s="43" t="n">
        <f aca="false">MROUND(SUM(Y51:Y60),1)</f>
        <v>1971</v>
      </c>
      <c r="Z49" s="43" t="n">
        <f aca="false">MROUND(SUM(Z51:Z60),1)</f>
        <v>1434</v>
      </c>
      <c r="AA49" s="43" t="n">
        <f aca="false">MROUND(SUM(AA51:AA60),1)</f>
        <v>1783</v>
      </c>
      <c r="AB49" s="43" t="n">
        <f aca="false">MROUND(SUM(AB51:AB60),1)</f>
        <v>1434</v>
      </c>
      <c r="AC49" s="43" t="n">
        <f aca="false">MROUND(SUM(AC51:AC60),1)</f>
        <v>1664</v>
      </c>
      <c r="AD49" s="43" t="n">
        <f aca="false">MROUND(SUM(AD51:AD60),1)</f>
        <v>1451</v>
      </c>
      <c r="AE49" s="43" t="n">
        <f aca="false">MROUND(SUM(AE51:AE60),1)</f>
        <v>3814</v>
      </c>
      <c r="AF49" s="43" t="n">
        <f aca="false">MROUND(SUM(AF51:AF60),1)</f>
        <v>1536</v>
      </c>
      <c r="AG49" s="43" t="n">
        <f aca="false">MROUND(SUM(AG51:AG60),1)</f>
        <v>1664</v>
      </c>
      <c r="AH49" s="43" t="n">
        <f aca="false">MROUND(SUM(AH51:AH60),1)</f>
        <v>1536</v>
      </c>
      <c r="AI49" s="44" t="n">
        <f aca="false">SUM(T49:AH49)</f>
        <v>26383</v>
      </c>
      <c r="AJ49" s="44"/>
    </row>
    <row r="50" customFormat="false" ht="15.75" hidden="false" customHeight="true" outlineLevel="0" collapsed="false">
      <c r="A50" s="45" t="s">
        <v>32</v>
      </c>
      <c r="B50" s="45" t="s">
        <v>33</v>
      </c>
      <c r="C50" s="45" t="s">
        <v>34</v>
      </c>
      <c r="D50" s="47" t="s">
        <v>35</v>
      </c>
      <c r="E50" s="48" t="s">
        <v>36</v>
      </c>
      <c r="F50" s="48" t="s">
        <v>37</v>
      </c>
      <c r="G50" s="48" t="s">
        <v>38</v>
      </c>
      <c r="H50" s="48" t="s">
        <v>39</v>
      </c>
      <c r="I50" s="48" t="s">
        <v>40</v>
      </c>
      <c r="J50" s="48" t="s">
        <v>41</v>
      </c>
      <c r="K50" s="48" t="s">
        <v>42</v>
      </c>
      <c r="L50" s="48" t="s">
        <v>43</v>
      </c>
      <c r="M50" s="188" t="s">
        <v>44</v>
      </c>
      <c r="N50" s="48" t="s">
        <v>45</v>
      </c>
      <c r="O50" s="50" t="s">
        <v>276</v>
      </c>
      <c r="P50" s="48" t="s">
        <v>277</v>
      </c>
      <c r="Q50" s="48" t="s">
        <v>278</v>
      </c>
      <c r="R50" s="48" t="s">
        <v>279</v>
      </c>
      <c r="S50" s="48" t="s">
        <v>280</v>
      </c>
      <c r="T50" s="48" t="n">
        <v>10000</v>
      </c>
      <c r="U50" s="48" t="n">
        <v>20000</v>
      </c>
      <c r="V50" s="48" t="n">
        <v>30000</v>
      </c>
      <c r="W50" s="48" t="n">
        <v>40000</v>
      </c>
      <c r="X50" s="48" t="n">
        <v>50000</v>
      </c>
      <c r="Y50" s="48" t="n">
        <v>60000</v>
      </c>
      <c r="Z50" s="48" t="n">
        <v>70000</v>
      </c>
      <c r="AA50" s="48" t="n">
        <v>80000</v>
      </c>
      <c r="AB50" s="48" t="n">
        <v>90000</v>
      </c>
      <c r="AC50" s="48" t="n">
        <v>100000</v>
      </c>
      <c r="AD50" s="50" t="n">
        <f aca="false">AC50+10000</f>
        <v>110000</v>
      </c>
      <c r="AE50" s="50" t="n">
        <f aca="false">AD50+10000</f>
        <v>120000</v>
      </c>
      <c r="AF50" s="50" t="n">
        <f aca="false">AE50+10000</f>
        <v>130000</v>
      </c>
      <c r="AG50" s="50" t="n">
        <f aca="false">AF50+10000</f>
        <v>140000</v>
      </c>
      <c r="AH50" s="50" t="n">
        <f aca="false">AG50+10000</f>
        <v>150000</v>
      </c>
      <c r="AI50" s="51" t="s">
        <v>46</v>
      </c>
      <c r="AJ50" s="45" t="s">
        <v>47</v>
      </c>
    </row>
    <row r="51" customFormat="false" ht="15.75" hidden="false" customHeight="true" outlineLevel="0" collapsed="false">
      <c r="A51" s="52" t="n">
        <v>1</v>
      </c>
      <c r="B51" s="53" t="s">
        <v>235</v>
      </c>
      <c r="C51" s="54" t="s">
        <v>226</v>
      </c>
      <c r="D51" s="55" t="n">
        <f aca="false">VLOOKUP(C51,'[1]PREÇO ATUAL'!$A$1:$D$1048576,4,0)</f>
        <v>110.2</v>
      </c>
      <c r="E51" s="56" t="n">
        <v>1</v>
      </c>
      <c r="F51" s="56" t="n">
        <v>1</v>
      </c>
      <c r="G51" s="56" t="n">
        <v>1</v>
      </c>
      <c r="H51" s="56" t="n">
        <v>1</v>
      </c>
      <c r="I51" s="56" t="n">
        <v>1</v>
      </c>
      <c r="J51" s="56" t="n">
        <v>1</v>
      </c>
      <c r="K51" s="56" t="n">
        <v>1</v>
      </c>
      <c r="L51" s="56" t="n">
        <v>1</v>
      </c>
      <c r="M51" s="57" t="n">
        <v>1</v>
      </c>
      <c r="N51" s="56" t="n">
        <v>1</v>
      </c>
      <c r="O51" s="56" t="n">
        <v>1</v>
      </c>
      <c r="P51" s="56" t="n">
        <v>1</v>
      </c>
      <c r="Q51" s="56" t="n">
        <v>1</v>
      </c>
      <c r="R51" s="56" t="n">
        <v>1</v>
      </c>
      <c r="S51" s="56" t="n">
        <v>1</v>
      </c>
      <c r="T51" s="58" t="n">
        <f aca="false">$D51*E51</f>
        <v>110.2</v>
      </c>
      <c r="U51" s="58" t="n">
        <f aca="false">$D51*F51</f>
        <v>110.2</v>
      </c>
      <c r="V51" s="58" t="n">
        <f aca="false">$D51*G51</f>
        <v>110.2</v>
      </c>
      <c r="W51" s="58" t="n">
        <f aca="false">$D51*H51</f>
        <v>110.2</v>
      </c>
      <c r="X51" s="58" t="n">
        <f aca="false">$D51*I51</f>
        <v>110.2</v>
      </c>
      <c r="Y51" s="58" t="n">
        <f aca="false">$D51*J51</f>
        <v>110.2</v>
      </c>
      <c r="Z51" s="58" t="n">
        <f aca="false">$D51*K51</f>
        <v>110.2</v>
      </c>
      <c r="AA51" s="58" t="n">
        <f aca="false">$D51*L51</f>
        <v>110.2</v>
      </c>
      <c r="AB51" s="58" t="n">
        <f aca="false">$D51*M51</f>
        <v>110.2</v>
      </c>
      <c r="AC51" s="58" t="n">
        <f aca="false">$D51*N51</f>
        <v>110.2</v>
      </c>
      <c r="AD51" s="58" t="n">
        <f aca="false">$D51*O51</f>
        <v>110.2</v>
      </c>
      <c r="AE51" s="58" t="n">
        <f aca="false">$D51*P51</f>
        <v>110.2</v>
      </c>
      <c r="AF51" s="58" t="n">
        <f aca="false">$D51*Q51</f>
        <v>110.2</v>
      </c>
      <c r="AG51" s="58" t="n">
        <f aca="false">$D51*R51</f>
        <v>110.2</v>
      </c>
      <c r="AH51" s="58" t="n">
        <f aca="false">$D51*S51</f>
        <v>110.2</v>
      </c>
      <c r="AI51" s="94" t="n">
        <f aca="false">AJ51/$AI$2</f>
        <v>0.0669122409326425</v>
      </c>
      <c r="AJ51" s="58" t="n">
        <f aca="false">SUM(T51:AH51)</f>
        <v>1653</v>
      </c>
    </row>
    <row r="52" customFormat="false" ht="15.75" hidden="false" customHeight="true" outlineLevel="0" collapsed="false">
      <c r="A52" s="60" t="n">
        <v>2</v>
      </c>
      <c r="B52" s="61" t="s">
        <v>236</v>
      </c>
      <c r="C52" s="62" t="s">
        <v>218</v>
      </c>
      <c r="D52" s="63" t="n">
        <f aca="false">VLOOKUP(C52,'[1]PREÇO ATUAL'!$A$1:$D$1048576,4,0)</f>
        <v>379</v>
      </c>
      <c r="E52" s="64" t="n">
        <v>1</v>
      </c>
      <c r="F52" s="64" t="n">
        <v>1</v>
      </c>
      <c r="G52" s="64" t="n">
        <v>1</v>
      </c>
      <c r="H52" s="64" t="n">
        <v>1</v>
      </c>
      <c r="I52" s="64" t="n">
        <v>1</v>
      </c>
      <c r="J52" s="64" t="n">
        <v>1</v>
      </c>
      <c r="K52" s="64" t="n">
        <v>1</v>
      </c>
      <c r="L52" s="64" t="n">
        <v>1</v>
      </c>
      <c r="M52" s="65" t="n">
        <v>1</v>
      </c>
      <c r="N52" s="64" t="n">
        <v>1</v>
      </c>
      <c r="O52" s="64" t="n">
        <v>1</v>
      </c>
      <c r="P52" s="64" t="n">
        <v>1</v>
      </c>
      <c r="Q52" s="64" t="n">
        <v>1</v>
      </c>
      <c r="R52" s="64" t="n">
        <v>1</v>
      </c>
      <c r="S52" s="64" t="n">
        <v>1</v>
      </c>
      <c r="T52" s="66" t="n">
        <f aca="false">$D52*E52</f>
        <v>379</v>
      </c>
      <c r="U52" s="66" t="n">
        <f aca="false">$D52*F52</f>
        <v>379</v>
      </c>
      <c r="V52" s="66" t="n">
        <f aca="false">$D52*G52</f>
        <v>379</v>
      </c>
      <c r="W52" s="66" t="n">
        <f aca="false">$D52*H52</f>
        <v>379</v>
      </c>
      <c r="X52" s="66" t="n">
        <f aca="false">$D52*I52</f>
        <v>379</v>
      </c>
      <c r="Y52" s="66" t="n">
        <f aca="false">$D52*J52</f>
        <v>379</v>
      </c>
      <c r="Z52" s="66" t="n">
        <f aca="false">$D52*K52</f>
        <v>379</v>
      </c>
      <c r="AA52" s="66" t="n">
        <f aca="false">$D52*L52</f>
        <v>379</v>
      </c>
      <c r="AB52" s="66" t="n">
        <f aca="false">$D52*M52</f>
        <v>379</v>
      </c>
      <c r="AC52" s="66" t="n">
        <f aca="false">$D52*N52</f>
        <v>379</v>
      </c>
      <c r="AD52" s="66" t="n">
        <f aca="false">$D52*O52</f>
        <v>379</v>
      </c>
      <c r="AE52" s="66" t="n">
        <f aca="false">$D52*P52</f>
        <v>379</v>
      </c>
      <c r="AF52" s="66" t="n">
        <f aca="false">$D52*Q52</f>
        <v>379</v>
      </c>
      <c r="AG52" s="66" t="n">
        <f aca="false">$D52*R52</f>
        <v>379</v>
      </c>
      <c r="AH52" s="66" t="n">
        <f aca="false">$D52*S52</f>
        <v>379</v>
      </c>
      <c r="AI52" s="95" t="n">
        <f aca="false">AJ52/$AI$2</f>
        <v>0.230124676165803</v>
      </c>
      <c r="AJ52" s="66" t="n">
        <f aca="false">SUM(T52:AH52)</f>
        <v>5685</v>
      </c>
    </row>
    <row r="53" customFormat="false" ht="15.75" hidden="false" customHeight="true" outlineLevel="0" collapsed="false">
      <c r="A53" s="52" t="n">
        <v>3</v>
      </c>
      <c r="B53" s="53" t="s">
        <v>281</v>
      </c>
      <c r="C53" s="54" t="s">
        <v>346</v>
      </c>
      <c r="D53" s="55" t="n">
        <f aca="false">VLOOKUP(C53,'[1]PREÇO ATUAL'!$A$1:$D$1048576,4,0)</f>
        <v>212.95</v>
      </c>
      <c r="E53" s="56"/>
      <c r="F53" s="56" t="n">
        <v>1</v>
      </c>
      <c r="G53" s="56"/>
      <c r="H53" s="56" t="n">
        <v>1</v>
      </c>
      <c r="I53" s="56"/>
      <c r="J53" s="56" t="n">
        <v>1</v>
      </c>
      <c r="K53" s="56"/>
      <c r="L53" s="56" t="n">
        <v>1</v>
      </c>
      <c r="M53" s="57"/>
      <c r="N53" s="56" t="n">
        <v>1</v>
      </c>
      <c r="O53" s="204"/>
      <c r="P53" s="56" t="n">
        <v>1</v>
      </c>
      <c r="Q53" s="56"/>
      <c r="R53" s="56" t="n">
        <v>1</v>
      </c>
      <c r="S53" s="56"/>
      <c r="T53" s="58" t="n">
        <f aca="false">$D53*E53</f>
        <v>0</v>
      </c>
      <c r="U53" s="58" t="n">
        <f aca="false">$D53*F53</f>
        <v>212.95</v>
      </c>
      <c r="V53" s="58" t="n">
        <f aca="false">$D53*G53</f>
        <v>0</v>
      </c>
      <c r="W53" s="58" t="n">
        <f aca="false">$D53*H53</f>
        <v>212.95</v>
      </c>
      <c r="X53" s="58" t="n">
        <f aca="false">$D53*I53</f>
        <v>0</v>
      </c>
      <c r="Y53" s="58" t="n">
        <f aca="false">$D53*J53</f>
        <v>212.95</v>
      </c>
      <c r="Z53" s="58" t="n">
        <f aca="false">$D53*K53</f>
        <v>0</v>
      </c>
      <c r="AA53" s="58" t="n">
        <f aca="false">$D53*L53</f>
        <v>212.95</v>
      </c>
      <c r="AB53" s="58" t="n">
        <f aca="false">$D53*M53</f>
        <v>0</v>
      </c>
      <c r="AC53" s="58" t="n">
        <f aca="false">$D53*N53</f>
        <v>212.95</v>
      </c>
      <c r="AD53" s="58" t="n">
        <f aca="false">$D53*O53</f>
        <v>0</v>
      </c>
      <c r="AE53" s="58" t="n">
        <f aca="false">$D53*P53</f>
        <v>212.95</v>
      </c>
      <c r="AF53" s="58" t="n">
        <f aca="false">$D53*Q53</f>
        <v>0</v>
      </c>
      <c r="AG53" s="58" t="n">
        <f aca="false">$D53*R53</f>
        <v>212.95</v>
      </c>
      <c r="AH53" s="58" t="n">
        <f aca="false">$D53*S53</f>
        <v>0</v>
      </c>
      <c r="AI53" s="94" t="n">
        <f aca="false">AJ53/$AI$2</f>
        <v>0.0603404306994819</v>
      </c>
      <c r="AJ53" s="58" t="n">
        <f aca="false">SUM(T53:AH53)</f>
        <v>1490.65</v>
      </c>
    </row>
    <row r="54" customFormat="false" ht="15" hidden="false" customHeight="false" outlineLevel="0" collapsed="false">
      <c r="A54" s="137" t="n">
        <v>4</v>
      </c>
      <c r="B54" s="180" t="s">
        <v>154</v>
      </c>
      <c r="C54" s="139" t="s">
        <v>347</v>
      </c>
      <c r="D54" s="140" t="n">
        <f aca="false">VLOOKUP(C54,'[1]PREÇO ATUAL'!$A$1:$D$1048576,4,0)</f>
        <v>283.39</v>
      </c>
      <c r="E54" s="176"/>
      <c r="F54" s="176"/>
      <c r="G54" s="176"/>
      <c r="H54" s="176"/>
      <c r="I54" s="177"/>
      <c r="J54" s="177" t="n">
        <v>1</v>
      </c>
      <c r="K54" s="177"/>
      <c r="L54" s="177"/>
      <c r="M54" s="177"/>
      <c r="N54" s="176"/>
      <c r="O54" s="233"/>
      <c r="P54" s="177" t="n">
        <v>1</v>
      </c>
      <c r="Q54" s="177"/>
      <c r="R54" s="177"/>
      <c r="S54" s="177"/>
      <c r="T54" s="142" t="n">
        <f aca="false">$D54*E54</f>
        <v>0</v>
      </c>
      <c r="U54" s="142" t="n">
        <f aca="false">$D54*F54</f>
        <v>0</v>
      </c>
      <c r="V54" s="142" t="n">
        <f aca="false">$D54*G54</f>
        <v>0</v>
      </c>
      <c r="W54" s="142" t="n">
        <f aca="false">$D54*H54</f>
        <v>0</v>
      </c>
      <c r="X54" s="142" t="n">
        <f aca="false">$D54*I54</f>
        <v>0</v>
      </c>
      <c r="Y54" s="142" t="n">
        <f aca="false">$D54*J54</f>
        <v>283.39</v>
      </c>
      <c r="Z54" s="142" t="n">
        <f aca="false">$D54*K54</f>
        <v>0</v>
      </c>
      <c r="AA54" s="142" t="n">
        <f aca="false">$D54*L54</f>
        <v>0</v>
      </c>
      <c r="AB54" s="142" t="n">
        <f aca="false">$D54*M54</f>
        <v>0</v>
      </c>
      <c r="AC54" s="142" t="n">
        <f aca="false">$D54*N54</f>
        <v>0</v>
      </c>
      <c r="AD54" s="142" t="n">
        <f aca="false">$D54*O54</f>
        <v>0</v>
      </c>
      <c r="AE54" s="142" t="n">
        <f aca="false">$D54*P54</f>
        <v>283.39</v>
      </c>
      <c r="AF54" s="142" t="n">
        <f aca="false">$D54*Q54</f>
        <v>0</v>
      </c>
      <c r="AG54" s="142" t="n">
        <f aca="false">$D54*R54</f>
        <v>0</v>
      </c>
      <c r="AH54" s="142" t="n">
        <f aca="false">$D54*S54</f>
        <v>0</v>
      </c>
      <c r="AI54" s="144" t="n">
        <f aca="false">AJ54/$AI$2</f>
        <v>0.0229428432642487</v>
      </c>
      <c r="AJ54" s="142" t="n">
        <f aca="false">SUM(T54:AH54)</f>
        <v>566.78</v>
      </c>
    </row>
    <row r="55" customFormat="false" ht="31.5" hidden="false" customHeight="true" outlineLevel="0" collapsed="false">
      <c r="A55" s="52" t="n">
        <v>5</v>
      </c>
      <c r="B55" s="72" t="s">
        <v>348</v>
      </c>
      <c r="C55" s="54" t="s">
        <v>232</v>
      </c>
      <c r="D55" s="55" t="n">
        <f aca="false">VLOOKUP(C55,'[1]PREÇO ATUAL'!$A$1:$D$1048576,4,0)</f>
        <v>567.55</v>
      </c>
      <c r="E55" s="56"/>
      <c r="F55" s="56"/>
      <c r="G55" s="56"/>
      <c r="H55" s="56"/>
      <c r="I55" s="56"/>
      <c r="J55" s="56"/>
      <c r="K55" s="56"/>
      <c r="L55" s="56"/>
      <c r="M55" s="57"/>
      <c r="N55" s="56"/>
      <c r="O55" s="204"/>
      <c r="P55" s="56" t="n">
        <v>1</v>
      </c>
      <c r="Q55" s="56"/>
      <c r="R55" s="56"/>
      <c r="S55" s="56"/>
      <c r="T55" s="58" t="n">
        <f aca="false">$D55*E55</f>
        <v>0</v>
      </c>
      <c r="U55" s="58" t="n">
        <f aca="false">$D55*F55</f>
        <v>0</v>
      </c>
      <c r="V55" s="58" t="n">
        <f aca="false">$D55*G55</f>
        <v>0</v>
      </c>
      <c r="W55" s="58" t="n">
        <f aca="false">$D55*H55</f>
        <v>0</v>
      </c>
      <c r="X55" s="58" t="n">
        <f aca="false">$D55*I55</f>
        <v>0</v>
      </c>
      <c r="Y55" s="58" t="n">
        <f aca="false">$D55*J55</f>
        <v>0</v>
      </c>
      <c r="Z55" s="58" t="n">
        <f aca="false">$D55*K55</f>
        <v>0</v>
      </c>
      <c r="AA55" s="58" t="n">
        <f aca="false">$D55*L55</f>
        <v>0</v>
      </c>
      <c r="AB55" s="58" t="n">
        <f aca="false">$D55*M55</f>
        <v>0</v>
      </c>
      <c r="AC55" s="58" t="n">
        <f aca="false">$D55*N55</f>
        <v>0</v>
      </c>
      <c r="AD55" s="58" t="n">
        <f aca="false">$D55*O55</f>
        <v>0</v>
      </c>
      <c r="AE55" s="58" t="n">
        <f aca="false">$D55*P55</f>
        <v>567.55</v>
      </c>
      <c r="AF55" s="58" t="n">
        <f aca="false">$D55*Q55</f>
        <v>0</v>
      </c>
      <c r="AG55" s="58" t="n">
        <f aca="false">$D55*R55</f>
        <v>0</v>
      </c>
      <c r="AH55" s="58" t="n">
        <f aca="false">$D55*S55</f>
        <v>0</v>
      </c>
      <c r="AI55" s="94" t="n">
        <f aca="false">AJ55/$AI$2</f>
        <v>0.0229740123056995</v>
      </c>
      <c r="AJ55" s="58" t="n">
        <f aca="false">SUM(T55:AH55)</f>
        <v>567.55</v>
      </c>
    </row>
    <row r="56" customFormat="false" ht="42.75" hidden="false" customHeight="true" outlineLevel="0" collapsed="false">
      <c r="A56" s="137" t="n">
        <v>6</v>
      </c>
      <c r="B56" s="180" t="s">
        <v>349</v>
      </c>
      <c r="C56" s="139" t="s">
        <v>350</v>
      </c>
      <c r="D56" s="140" t="n">
        <f aca="false">VLOOKUP(C56,'[1]PREÇO ATUAL'!$A$1:$D$1048576,4,0)</f>
        <v>103.451073876523</v>
      </c>
      <c r="E56" s="182" t="n">
        <v>2.2</v>
      </c>
      <c r="F56" s="176"/>
      <c r="G56" s="176"/>
      <c r="H56" s="176"/>
      <c r="I56" s="177"/>
      <c r="J56" s="177"/>
      <c r="K56" s="177"/>
      <c r="L56" s="177"/>
      <c r="M56" s="177"/>
      <c r="N56" s="176"/>
      <c r="O56" s="233"/>
      <c r="P56" s="177"/>
      <c r="Q56" s="177"/>
      <c r="R56" s="177"/>
      <c r="S56" s="177"/>
      <c r="T56" s="142" t="n">
        <f aca="false">$D56*E56</f>
        <v>227.592362528351</v>
      </c>
      <c r="U56" s="142" t="n">
        <f aca="false">$D56*F56</f>
        <v>0</v>
      </c>
      <c r="V56" s="142" t="n">
        <f aca="false">$D56*G56</f>
        <v>0</v>
      </c>
      <c r="W56" s="142" t="n">
        <f aca="false">$D56*H56</f>
        <v>0</v>
      </c>
      <c r="X56" s="142" t="n">
        <f aca="false">$D56*I56</f>
        <v>0</v>
      </c>
      <c r="Y56" s="142" t="n">
        <f aca="false">$D56*J56</f>
        <v>0</v>
      </c>
      <c r="Z56" s="142" t="n">
        <f aca="false">$D56*K56</f>
        <v>0</v>
      </c>
      <c r="AA56" s="142" t="n">
        <f aca="false">$D56*L56</f>
        <v>0</v>
      </c>
      <c r="AB56" s="142" t="n">
        <f aca="false">$D56*M56</f>
        <v>0</v>
      </c>
      <c r="AC56" s="142" t="n">
        <f aca="false">$D56*N56</f>
        <v>0</v>
      </c>
      <c r="AD56" s="142" t="n">
        <f aca="false">$D56*O56</f>
        <v>0</v>
      </c>
      <c r="AE56" s="142" t="n">
        <f aca="false">$D56*P56</f>
        <v>0</v>
      </c>
      <c r="AF56" s="142" t="n">
        <f aca="false">$D56*Q56</f>
        <v>0</v>
      </c>
      <c r="AG56" s="142" t="n">
        <f aca="false">$D56*R56</f>
        <v>0</v>
      </c>
      <c r="AH56" s="142" t="n">
        <f aca="false">$D56*S56</f>
        <v>0</v>
      </c>
      <c r="AI56" s="144" t="n">
        <f aca="false">AJ56/$AI$2</f>
        <v>0.00921277374224218</v>
      </c>
      <c r="AJ56" s="142" t="n">
        <f aca="false">SUM(T56:AH56)</f>
        <v>227.592362528351</v>
      </c>
    </row>
    <row r="57" customFormat="false" ht="23.25" hidden="false" customHeight="false" outlineLevel="0" collapsed="false">
      <c r="A57" s="52" t="n">
        <v>7</v>
      </c>
      <c r="B57" s="72" t="s">
        <v>353</v>
      </c>
      <c r="C57" s="54" t="s">
        <v>354</v>
      </c>
      <c r="D57" s="55" t="n">
        <f aca="false">VLOOKUP(C57,'[1]PREÇO ATUAL'!$A$1:$D$1048576,4,0)</f>
        <v>77.744</v>
      </c>
      <c r="E57" s="56"/>
      <c r="F57" s="56"/>
      <c r="G57" s="56"/>
      <c r="H57" s="56"/>
      <c r="I57" s="56"/>
      <c r="J57" s="56"/>
      <c r="K57" s="56"/>
      <c r="L57" s="56"/>
      <c r="M57" s="57"/>
      <c r="N57" s="56"/>
      <c r="O57" s="204"/>
      <c r="P57" s="56"/>
      <c r="Q57" s="56"/>
      <c r="R57" s="56"/>
      <c r="S57" s="56"/>
      <c r="T57" s="58" t="n">
        <f aca="false">$D57*E57</f>
        <v>0</v>
      </c>
      <c r="U57" s="58" t="n">
        <f aca="false">$D57*F57</f>
        <v>0</v>
      </c>
      <c r="V57" s="58" t="n">
        <f aca="false">$D57*G57</f>
        <v>0</v>
      </c>
      <c r="W57" s="58" t="n">
        <f aca="false">$D57*H57</f>
        <v>0</v>
      </c>
      <c r="X57" s="58" t="n">
        <f aca="false">$D57*I57</f>
        <v>0</v>
      </c>
      <c r="Y57" s="58" t="n">
        <f aca="false">$D57*J57</f>
        <v>0</v>
      </c>
      <c r="Z57" s="58" t="n">
        <f aca="false">$D57*K57</f>
        <v>0</v>
      </c>
      <c r="AA57" s="58" t="n">
        <f aca="false">$D57*L57</f>
        <v>0</v>
      </c>
      <c r="AB57" s="58" t="n">
        <f aca="false">$D57*M57</f>
        <v>0</v>
      </c>
      <c r="AC57" s="58" t="n">
        <f aca="false">$D57*N57</f>
        <v>0</v>
      </c>
      <c r="AD57" s="58" t="n">
        <f aca="false">$D57*O57</f>
        <v>0</v>
      </c>
      <c r="AE57" s="58" t="n">
        <f aca="false">$D57*P57</f>
        <v>0</v>
      </c>
      <c r="AF57" s="58" t="n">
        <f aca="false">$D57*Q57</f>
        <v>0</v>
      </c>
      <c r="AG57" s="58" t="n">
        <f aca="false">$D57*R57</f>
        <v>0</v>
      </c>
      <c r="AH57" s="58" t="n">
        <f aca="false">$D57*S57</f>
        <v>0</v>
      </c>
      <c r="AI57" s="94" t="n">
        <f aca="false">AJ57/$AI$2</f>
        <v>0</v>
      </c>
      <c r="AJ57" s="58" t="n">
        <f aca="false">SUM(T57:AH57)</f>
        <v>0</v>
      </c>
    </row>
    <row r="58" customFormat="false" ht="23.25" hidden="false" customHeight="false" outlineLevel="0" collapsed="false">
      <c r="A58" s="137" t="n">
        <v>8</v>
      </c>
      <c r="B58" s="180" t="s">
        <v>355</v>
      </c>
      <c r="C58" s="139" t="s">
        <v>286</v>
      </c>
      <c r="D58" s="140" t="n">
        <f aca="false">VLOOKUP(C58,'[1]PREÇO ATUAL'!$A$1:$D$1048576,4,0)</f>
        <v>580.293252</v>
      </c>
      <c r="E58" s="176"/>
      <c r="F58" s="176"/>
      <c r="G58" s="176"/>
      <c r="H58" s="176"/>
      <c r="I58" s="177"/>
      <c r="J58" s="177"/>
      <c r="K58" s="177"/>
      <c r="L58" s="177"/>
      <c r="M58" s="177"/>
      <c r="N58" s="176"/>
      <c r="O58" s="233"/>
      <c r="P58" s="177"/>
      <c r="Q58" s="177"/>
      <c r="R58" s="177"/>
      <c r="S58" s="177"/>
      <c r="T58" s="142" t="n">
        <f aca="false">$D58*E58</f>
        <v>0</v>
      </c>
      <c r="U58" s="142" t="n">
        <f aca="false">$D58*F58</f>
        <v>0</v>
      </c>
      <c r="V58" s="142" t="n">
        <f aca="false">$D58*G58</f>
        <v>0</v>
      </c>
      <c r="W58" s="142" t="n">
        <f aca="false">$D58*H58</f>
        <v>0</v>
      </c>
      <c r="X58" s="142" t="n">
        <f aca="false">$D58*I58</f>
        <v>0</v>
      </c>
      <c r="Y58" s="142" t="n">
        <f aca="false">$D58*J58</f>
        <v>0</v>
      </c>
      <c r="Z58" s="142" t="n">
        <f aca="false">$D58*K58</f>
        <v>0</v>
      </c>
      <c r="AA58" s="142" t="n">
        <f aca="false">$D58*L58</f>
        <v>0</v>
      </c>
      <c r="AB58" s="142" t="n">
        <f aca="false">$D58*M58</f>
        <v>0</v>
      </c>
      <c r="AC58" s="142" t="n">
        <f aca="false">$D58*N58</f>
        <v>0</v>
      </c>
      <c r="AD58" s="142" t="n">
        <f aca="false">$D58*O58</f>
        <v>0</v>
      </c>
      <c r="AE58" s="142" t="n">
        <f aca="false">$D58*P58</f>
        <v>0</v>
      </c>
      <c r="AF58" s="142" t="n">
        <f aca="false">$D58*Q58</f>
        <v>0</v>
      </c>
      <c r="AG58" s="142" t="n">
        <f aca="false">$D58*R58</f>
        <v>0</v>
      </c>
      <c r="AH58" s="142" t="n">
        <f aca="false">$D58*S58</f>
        <v>0</v>
      </c>
      <c r="AI58" s="144" t="n">
        <f aca="false">AJ58/$AI$2</f>
        <v>0</v>
      </c>
      <c r="AJ58" s="142" t="n">
        <f aca="false">SUM(T58:AH58)</f>
        <v>0</v>
      </c>
    </row>
    <row r="59" customFormat="false" ht="15.75" hidden="false" customHeight="true" outlineLevel="0" collapsed="false">
      <c r="A59" s="52" t="n">
        <v>9</v>
      </c>
      <c r="B59" s="53" t="s">
        <v>321</v>
      </c>
      <c r="C59" s="54" t="s">
        <v>223</v>
      </c>
      <c r="D59" s="55" t="n">
        <f aca="false">VLOOKUP(C59,'[1]PREÇO ATUAL'!$A$1:$D$1048576,4,0)</f>
        <v>91.54</v>
      </c>
      <c r="E59" s="84" t="n">
        <v>4.9</v>
      </c>
      <c r="F59" s="84" t="n">
        <v>4.9</v>
      </c>
      <c r="G59" s="84" t="n">
        <v>4.9</v>
      </c>
      <c r="H59" s="84" t="n">
        <v>4.9</v>
      </c>
      <c r="I59" s="84" t="n">
        <v>4.9</v>
      </c>
      <c r="J59" s="84" t="n">
        <v>4.9</v>
      </c>
      <c r="K59" s="84" t="n">
        <v>4.9</v>
      </c>
      <c r="L59" s="84" t="n">
        <v>4.9</v>
      </c>
      <c r="M59" s="85" t="n">
        <v>4.9</v>
      </c>
      <c r="N59" s="84" t="n">
        <v>4.9</v>
      </c>
      <c r="O59" s="234" t="n">
        <v>4.9</v>
      </c>
      <c r="P59" s="84" t="n">
        <v>4.9</v>
      </c>
      <c r="Q59" s="84" t="n">
        <v>4.9</v>
      </c>
      <c r="R59" s="84" t="n">
        <v>4.9</v>
      </c>
      <c r="S59" s="84" t="n">
        <v>4.9</v>
      </c>
      <c r="T59" s="58" t="n">
        <f aca="false">$D59*E59</f>
        <v>448.546</v>
      </c>
      <c r="U59" s="58" t="n">
        <f aca="false">$D59*F59</f>
        <v>448.546</v>
      </c>
      <c r="V59" s="58" t="n">
        <f aca="false">$D59*G59</f>
        <v>448.546</v>
      </c>
      <c r="W59" s="58" t="n">
        <f aca="false">$D59*H59</f>
        <v>448.546</v>
      </c>
      <c r="X59" s="58" t="n">
        <f aca="false">$D59*I59</f>
        <v>448.546</v>
      </c>
      <c r="Y59" s="58" t="n">
        <f aca="false">$D59*J59</f>
        <v>448.546</v>
      </c>
      <c r="Z59" s="58" t="n">
        <f aca="false">$D59*K59</f>
        <v>448.546</v>
      </c>
      <c r="AA59" s="58" t="n">
        <f aca="false">$D59*L59</f>
        <v>448.546</v>
      </c>
      <c r="AB59" s="58" t="n">
        <f aca="false">$D59*M59</f>
        <v>448.546</v>
      </c>
      <c r="AC59" s="58" t="n">
        <f aca="false">$D59*N59</f>
        <v>448.546</v>
      </c>
      <c r="AD59" s="58" t="n">
        <f aca="false">$D59*O59</f>
        <v>448.546</v>
      </c>
      <c r="AE59" s="58" t="n">
        <f aca="false">$D59*P59</f>
        <v>448.546</v>
      </c>
      <c r="AF59" s="58" t="n">
        <f aca="false">$D59*Q59</f>
        <v>448.546</v>
      </c>
      <c r="AG59" s="58" t="n">
        <f aca="false">$D59*R59</f>
        <v>448.546</v>
      </c>
      <c r="AH59" s="58" t="n">
        <f aca="false">$D59*S59</f>
        <v>448.546</v>
      </c>
      <c r="AI59" s="94" t="n">
        <f aca="false">AJ59/$AI$2</f>
        <v>0.272352250647668</v>
      </c>
      <c r="AJ59" s="58" t="n">
        <f aca="false">SUM(T59:AH59)</f>
        <v>6728.19</v>
      </c>
    </row>
    <row r="60" customFormat="false" ht="15" hidden="false" customHeight="false" outlineLevel="0" collapsed="false">
      <c r="A60" s="137" t="n">
        <v>10</v>
      </c>
      <c r="B60" s="180" t="s">
        <v>64</v>
      </c>
      <c r="C60" s="139" t="s">
        <v>65</v>
      </c>
      <c r="D60" s="140" t="n">
        <f aca="false">VLOOKUP(C60,'[1]PREÇO ATUAL'!$A$1:$D$1048576,4,0)</f>
        <v>342</v>
      </c>
      <c r="E60" s="182" t="n">
        <v>1.75</v>
      </c>
      <c r="F60" s="182" t="n">
        <v>1.5</v>
      </c>
      <c r="G60" s="182" t="n">
        <v>1.45</v>
      </c>
      <c r="H60" s="182" t="n">
        <v>1.85</v>
      </c>
      <c r="I60" s="191" t="n">
        <v>1.5</v>
      </c>
      <c r="J60" s="191" t="n">
        <v>1.57</v>
      </c>
      <c r="K60" s="191" t="n">
        <v>1.45</v>
      </c>
      <c r="L60" s="191" t="n">
        <v>1.85</v>
      </c>
      <c r="M60" s="191" t="n">
        <v>1.45</v>
      </c>
      <c r="N60" s="182" t="n">
        <v>1.5</v>
      </c>
      <c r="O60" s="235" t="n">
        <v>1.5</v>
      </c>
      <c r="P60" s="191" t="n">
        <v>5.3</v>
      </c>
      <c r="Q60" s="191" t="n">
        <v>1.75</v>
      </c>
      <c r="R60" s="191" t="n">
        <v>1.5</v>
      </c>
      <c r="S60" s="191" t="n">
        <v>1.75</v>
      </c>
      <c r="T60" s="142" t="n">
        <f aca="false">D60*E60</f>
        <v>598.5</v>
      </c>
      <c r="U60" s="142" t="n">
        <f aca="false">$D60*F60</f>
        <v>513</v>
      </c>
      <c r="V60" s="142" t="n">
        <f aca="false">$D60*G60</f>
        <v>495.9</v>
      </c>
      <c r="W60" s="142" t="n">
        <f aca="false">$D60*H60</f>
        <v>632.7</v>
      </c>
      <c r="X60" s="142" t="n">
        <f aca="false">$D60*I60</f>
        <v>513</v>
      </c>
      <c r="Y60" s="142" t="n">
        <f aca="false">$D60*J60</f>
        <v>536.94</v>
      </c>
      <c r="Z60" s="142" t="n">
        <f aca="false">$D60*K60</f>
        <v>495.9</v>
      </c>
      <c r="AA60" s="142" t="n">
        <f aca="false">$D60*L60</f>
        <v>632.7</v>
      </c>
      <c r="AB60" s="142" t="n">
        <f aca="false">$D60*M60</f>
        <v>495.9</v>
      </c>
      <c r="AC60" s="142" t="n">
        <f aca="false">$D60*N60</f>
        <v>513</v>
      </c>
      <c r="AD60" s="142" t="n">
        <f aca="false">$D60*O60</f>
        <v>513</v>
      </c>
      <c r="AE60" s="142" t="n">
        <f aca="false">$D60*P60</f>
        <v>1812.6</v>
      </c>
      <c r="AF60" s="142" t="n">
        <f aca="false">$D60*Q60</f>
        <v>598.5</v>
      </c>
      <c r="AG60" s="142" t="n">
        <f aca="false">$D60*R60</f>
        <v>513</v>
      </c>
      <c r="AH60" s="142" t="n">
        <f aca="false">$D60*S60</f>
        <v>598.5</v>
      </c>
      <c r="AI60" s="144" t="n">
        <f aca="false">AJ60/$AI$2</f>
        <v>0.383061042746114</v>
      </c>
      <c r="AJ60" s="142" t="n">
        <f aca="false">SUM(T60:AH60)</f>
        <v>9463.14</v>
      </c>
    </row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>
      <c r="T63" s="172"/>
      <c r="U63" s="172"/>
      <c r="V63" s="172"/>
    </row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</sheetData>
  <mergeCells count="20">
    <mergeCell ref="A1:D2"/>
    <mergeCell ref="E1:S1"/>
    <mergeCell ref="T1:AH1"/>
    <mergeCell ref="AI1:AJ1"/>
    <mergeCell ref="AI2:AJ2"/>
    <mergeCell ref="A17:D18"/>
    <mergeCell ref="E17:N18"/>
    <mergeCell ref="T17:AC17"/>
    <mergeCell ref="AI17:AJ17"/>
    <mergeCell ref="AI18:AJ18"/>
    <mergeCell ref="A33:D34"/>
    <mergeCell ref="E33:S33"/>
    <mergeCell ref="T33:AH33"/>
    <mergeCell ref="AI33:AJ33"/>
    <mergeCell ref="AI34:AJ34"/>
    <mergeCell ref="A48:D49"/>
    <mergeCell ref="E48:S48"/>
    <mergeCell ref="T48:AH48"/>
    <mergeCell ref="AI48:AJ48"/>
    <mergeCell ref="AI49:AJ4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4DB60800ACA4C9F881E3192D45602" ma:contentTypeVersion="6" ma:contentTypeDescription="Create a new document." ma:contentTypeScope="" ma:versionID="05b22ccee4d80f4d5bed7f2d3523d6c9">
  <xsd:schema xmlns:xsd="http://www.w3.org/2001/XMLSchema" xmlns:xs="http://www.w3.org/2001/XMLSchema" xmlns:p="http://schemas.microsoft.com/office/2006/metadata/properties" xmlns:ns2="acc937fd-0597-4e9b-834f-48b21c50ffbf" xmlns:ns3="bfe071b7-31a7-4db9-adea-60dbc255492c" targetNamespace="http://schemas.microsoft.com/office/2006/metadata/properties" ma:root="true" ma:fieldsID="66296a9dd28842bf490c87121060a606" ns2:_="" ns3:_="">
    <xsd:import namespace="acc937fd-0597-4e9b-834f-48b21c50ffbf"/>
    <xsd:import namespace="bfe071b7-31a7-4db9-adea-60dbc25549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c937fd-0597-4e9b-834f-48b21c50ff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071b7-31a7-4db9-adea-60dbc2554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fe071b7-31a7-4db9-adea-60dbc255492c">
      <UserInfo>
        <DisplayName>GUILHERME CARVALHO</DisplayName>
        <AccountId>357</AccountId>
        <AccountType/>
      </UserInfo>
      <UserInfo>
        <DisplayName>POLLYANNA MATTA</DisplayName>
        <AccountId>409</AccountId>
        <AccountType/>
      </UserInfo>
      <UserInfo>
        <DisplayName>RODRIGO TOMAZZONI</DisplayName>
        <AccountId>188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71E25A9-7A15-4A0D-921E-4452BC3CD7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F3DE56-0BC9-4F62-8B31-2AA395E425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c937fd-0597-4e9b-834f-48b21c50ffbf"/>
    <ds:schemaRef ds:uri="bfe071b7-31a7-4db9-adea-60dbc2554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60A134-BCF6-4A21-88A3-AB7C68CBCBB6}">
  <ds:schemaRefs>
    <ds:schemaRef ds:uri="http://schemas.microsoft.com/office/2006/metadata/properties"/>
    <ds:schemaRef ds:uri="http://schemas.microsoft.com/office/infopath/2007/PartnerControls"/>
    <ds:schemaRef ds:uri="bfe071b7-31a7-4db9-adea-60dbc255492c"/>
  </ds:schemaRefs>
</ds:datastoreItem>
</file>

<file path=docMetadata/LabelInfo.xml><?xml version="1.0" encoding="utf-8"?>
<clbl:labelList xmlns:clbl="http://schemas.microsoft.com/office/2020/mipLabelMetadata">
  <clbl:label id="{2fd53d93-3f4c-4b90-b511-bd6bdbb4fba9}" enabled="1" method="Standar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LibreOffice/7.3.6.2$Windows_X86_64 LibreOffice_project/c28ca90fd6e1a19e189fc16c05f8f8924961e12e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2022-06-08T18:49:28Z</dcterms:created>
  <dc:creator/>
  <dc:description/>
  <dc:language>pt-BR</dc:language>
  <cp:lastModifiedBy/>
  <dcterms:modified xsi:type="dcterms:W3CDTF">2026-05-12T17:35:09Z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0x0101002184DB60800ACA4C9F881E3192D45602</vt:lpwstr>
  </property>
  <property fmtid="{D5CDD505-2E9C-101B-9397-08002B2CF9AE}" pid="3" name="MSIP_Label_2fd53d93-3f4c-4b90-b511-bd6bdbb4fba9_ActionId">
    <vt:lpwstr>77e0886c-ae51-44f3-a18e-1323a0dd9afa</vt:lpwstr>
  </property>
  <property fmtid="{D5CDD505-2E9C-101B-9397-08002B2CF9AE}" pid="4" name="MSIP_Label_2fd53d93-3f4c-4b90-b511-bd6bdbb4fba9_ContentBits">
    <vt:lpwstr>0</vt:lpwstr>
  </property>
  <property fmtid="{D5CDD505-2E9C-101B-9397-08002B2CF9AE}" pid="5" name="MSIP_Label_2fd53d93-3f4c-4b90-b511-bd6bdbb4fba9_Enabled">
    <vt:lpwstr>true</vt:lpwstr>
  </property>
  <property fmtid="{D5CDD505-2E9C-101B-9397-08002B2CF9AE}" pid="6" name="MSIP_Label_2fd53d93-3f4c-4b90-b511-bd6bdbb4fba9_Method">
    <vt:lpwstr>Standard</vt:lpwstr>
  </property>
  <property fmtid="{D5CDD505-2E9C-101B-9397-08002B2CF9AE}" pid="7" name="MSIP_Label_2fd53d93-3f4c-4b90-b511-bd6bdbb4fba9_Name">
    <vt:lpwstr>2fd53d93-3f4c-4b90-b511-bd6bdbb4fba9</vt:lpwstr>
  </property>
  <property fmtid="{D5CDD505-2E9C-101B-9397-08002B2CF9AE}" pid="8" name="MSIP_Label_2fd53d93-3f4c-4b90-b511-bd6bdbb4fba9_SetDate">
    <vt:lpwstr>2022-12-23T12:55:13Z</vt:lpwstr>
  </property>
  <property fmtid="{D5CDD505-2E9C-101B-9397-08002B2CF9AE}" pid="9" name="MSIP_Label_2fd53d93-3f4c-4b90-b511-bd6bdbb4fba9_SiteId">
    <vt:lpwstr>d852d5cd-724c-4128-8812-ffa5db3f8507</vt:lpwstr>
  </property>
</Properties>
</file>